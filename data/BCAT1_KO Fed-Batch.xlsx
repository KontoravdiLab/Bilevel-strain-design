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go\Documents\OptGene_Codes\Revised Submission\deposit\data\"/>
    </mc:Choice>
  </mc:AlternateContent>
  <xr:revisionPtr revIDLastSave="0" documentId="13_ncr:1_{AE73FA7B-48D4-4217-B237-1733966F58F2}" xr6:coauthVersionLast="47" xr6:coauthVersionMax="47" xr10:uidLastSave="{00000000-0000-0000-0000-000000000000}"/>
  <bookViews>
    <workbookView xWindow="2880" yWindow="1110" windowWidth="40770" windowHeight="19770" xr2:uid="{00000000-000D-0000-FFFF-FFFF00000000}"/>
  </bookViews>
  <sheets>
    <sheet name="Setup" sheetId="1" r:id="rId1"/>
    <sheet name="Results" sheetId="2" r:id="rId2"/>
    <sheet name="FinalResul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1" i="3" l="1"/>
  <c r="AI4" i="3" l="1"/>
  <c r="V4" i="3"/>
  <c r="I4" i="3"/>
  <c r="P32" i="2"/>
  <c r="P33" i="2"/>
  <c r="P34" i="2"/>
  <c r="P35" i="2"/>
  <c r="E31" i="2"/>
  <c r="AL5" i="3" l="1"/>
  <c r="AL6" i="3"/>
  <c r="AL7" i="3"/>
  <c r="AL8" i="3"/>
  <c r="AL9" i="3"/>
  <c r="AL10" i="3"/>
  <c r="AL12" i="3"/>
  <c r="AL13" i="3"/>
  <c r="AL14" i="3"/>
  <c r="AL15" i="3"/>
  <c r="AL16" i="3"/>
  <c r="AL17" i="3"/>
  <c r="AL18" i="3"/>
  <c r="AL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4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K6" i="3" l="1"/>
  <c r="K7" i="3"/>
  <c r="K8" i="3"/>
  <c r="K9" i="3"/>
  <c r="K10" i="3"/>
  <c r="K11" i="3"/>
  <c r="K12" i="3"/>
  <c r="K13" i="3"/>
  <c r="K14" i="3"/>
  <c r="K15" i="3"/>
  <c r="K16" i="3"/>
  <c r="K17" i="3"/>
  <c r="K18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P62" i="2"/>
  <c r="E18" i="2"/>
  <c r="E36" i="2"/>
  <c r="P14" i="2"/>
  <c r="P15" i="2"/>
  <c r="P13" i="2"/>
  <c r="P38" i="2"/>
  <c r="P36" i="2"/>
  <c r="P18" i="2"/>
  <c r="P17" i="2"/>
  <c r="Q63" i="2"/>
  <c r="P63" i="2"/>
  <c r="O63" i="2"/>
  <c r="F63" i="2"/>
  <c r="E63" i="2"/>
  <c r="D63" i="2"/>
  <c r="Q62" i="2"/>
  <c r="O62" i="2"/>
  <c r="F62" i="2"/>
  <c r="E62" i="2"/>
  <c r="D62" i="2"/>
  <c r="Q61" i="2"/>
  <c r="P61" i="2"/>
  <c r="O61" i="2"/>
  <c r="F61" i="2"/>
  <c r="E61" i="2"/>
  <c r="D61" i="2"/>
  <c r="Q60" i="2"/>
  <c r="P60" i="2"/>
  <c r="O60" i="2"/>
  <c r="F60" i="2"/>
  <c r="E60" i="2"/>
  <c r="D60" i="2"/>
  <c r="Q59" i="2"/>
  <c r="P59" i="2"/>
  <c r="O59" i="2"/>
  <c r="F59" i="2"/>
  <c r="E59" i="2"/>
  <c r="D59" i="2"/>
  <c r="Q58" i="2"/>
  <c r="P58" i="2"/>
  <c r="O58" i="2"/>
  <c r="F58" i="2"/>
  <c r="E58" i="2"/>
  <c r="D58" i="2"/>
  <c r="Q57" i="2"/>
  <c r="P57" i="2"/>
  <c r="O57" i="2"/>
  <c r="F57" i="2"/>
  <c r="E57" i="2"/>
  <c r="D57" i="2"/>
  <c r="Q56" i="2"/>
  <c r="P56" i="2"/>
  <c r="O56" i="2"/>
  <c r="F56" i="2"/>
  <c r="E56" i="2"/>
  <c r="D56" i="2"/>
  <c r="Q55" i="2"/>
  <c r="P55" i="2"/>
  <c r="O55" i="2"/>
  <c r="F55" i="2"/>
  <c r="E55" i="2"/>
  <c r="D55" i="2"/>
  <c r="Q54" i="2"/>
  <c r="P54" i="2"/>
  <c r="O54" i="2"/>
  <c r="F54" i="2"/>
  <c r="E54" i="2"/>
  <c r="D54" i="2"/>
  <c r="Q53" i="2"/>
  <c r="P53" i="2"/>
  <c r="O53" i="2"/>
  <c r="F53" i="2"/>
  <c r="E53" i="2"/>
  <c r="D53" i="2"/>
  <c r="Q52" i="2"/>
  <c r="P52" i="2"/>
  <c r="O52" i="2"/>
  <c r="F52" i="2"/>
  <c r="E52" i="2"/>
  <c r="D52" i="2"/>
  <c r="Q51" i="2"/>
  <c r="P51" i="2"/>
  <c r="O51" i="2"/>
  <c r="F51" i="2"/>
  <c r="E51" i="2"/>
  <c r="D51" i="2"/>
  <c r="Q50" i="2"/>
  <c r="P50" i="2"/>
  <c r="O50" i="2"/>
  <c r="F50" i="2"/>
  <c r="E50" i="2"/>
  <c r="D50" i="2"/>
  <c r="P49" i="2"/>
  <c r="R49" i="2" s="1"/>
  <c r="O49" i="2"/>
  <c r="E49" i="2"/>
  <c r="G49" i="2" s="1"/>
  <c r="D49" i="2"/>
  <c r="Q41" i="2"/>
  <c r="P41" i="2"/>
  <c r="O41" i="2"/>
  <c r="F41" i="2"/>
  <c r="E41" i="2"/>
  <c r="D41" i="2"/>
  <c r="Q40" i="2"/>
  <c r="P40" i="2"/>
  <c r="O40" i="2"/>
  <c r="F40" i="2"/>
  <c r="E40" i="2"/>
  <c r="D40" i="2"/>
  <c r="Q39" i="2"/>
  <c r="P39" i="2"/>
  <c r="O39" i="2"/>
  <c r="F39" i="2"/>
  <c r="E39" i="2"/>
  <c r="D39" i="2"/>
  <c r="Q38" i="2"/>
  <c r="O38" i="2"/>
  <c r="F38" i="2"/>
  <c r="E38" i="2"/>
  <c r="D38" i="2"/>
  <c r="Q37" i="2"/>
  <c r="P37" i="2"/>
  <c r="O37" i="2"/>
  <c r="F37" i="2"/>
  <c r="E37" i="2"/>
  <c r="D37" i="2"/>
  <c r="Q36" i="2"/>
  <c r="O36" i="2"/>
  <c r="F36" i="2"/>
  <c r="D36" i="2"/>
  <c r="Q35" i="2"/>
  <c r="O35" i="2"/>
  <c r="F35" i="2"/>
  <c r="E35" i="2"/>
  <c r="D35" i="2"/>
  <c r="Q34" i="2"/>
  <c r="R34" i="2" s="1"/>
  <c r="O34" i="2"/>
  <c r="F34" i="2"/>
  <c r="E34" i="2"/>
  <c r="D34" i="2"/>
  <c r="Q33" i="2"/>
  <c r="O33" i="2"/>
  <c r="F33" i="2"/>
  <c r="E33" i="2"/>
  <c r="D33" i="2"/>
  <c r="Q32" i="2"/>
  <c r="O32" i="2"/>
  <c r="F32" i="2"/>
  <c r="E32" i="2"/>
  <c r="D32" i="2"/>
  <c r="Q31" i="2"/>
  <c r="P31" i="2"/>
  <c r="O31" i="2"/>
  <c r="F31" i="2"/>
  <c r="D31" i="2"/>
  <c r="Q30" i="2"/>
  <c r="P30" i="2"/>
  <c r="O30" i="2"/>
  <c r="F30" i="2"/>
  <c r="E30" i="2"/>
  <c r="D30" i="2"/>
  <c r="Q29" i="2"/>
  <c r="P29" i="2"/>
  <c r="O29" i="2"/>
  <c r="F29" i="2"/>
  <c r="E29" i="2"/>
  <c r="D29" i="2"/>
  <c r="Q28" i="2"/>
  <c r="P28" i="2"/>
  <c r="O28" i="2"/>
  <c r="F28" i="2"/>
  <c r="E28" i="2"/>
  <c r="D28" i="2"/>
  <c r="P27" i="2"/>
  <c r="R27" i="2" s="1"/>
  <c r="O27" i="2"/>
  <c r="E27" i="2"/>
  <c r="G27" i="2" s="1"/>
  <c r="D27" i="2"/>
  <c r="Q19" i="2"/>
  <c r="P19" i="2"/>
  <c r="O19" i="2"/>
  <c r="F19" i="2"/>
  <c r="E19" i="2"/>
  <c r="D19" i="2"/>
  <c r="Q18" i="2"/>
  <c r="O18" i="2"/>
  <c r="F18" i="2"/>
  <c r="D18" i="2"/>
  <c r="Q17" i="2"/>
  <c r="O17" i="2"/>
  <c r="F17" i="2"/>
  <c r="E17" i="2"/>
  <c r="D17" i="2"/>
  <c r="Q16" i="2"/>
  <c r="P16" i="2"/>
  <c r="O16" i="2"/>
  <c r="F16" i="2"/>
  <c r="E16" i="2"/>
  <c r="D16" i="2"/>
  <c r="Q15" i="2"/>
  <c r="O15" i="2"/>
  <c r="F15" i="2"/>
  <c r="E15" i="2"/>
  <c r="D15" i="2"/>
  <c r="Q14" i="2"/>
  <c r="O14" i="2"/>
  <c r="F14" i="2"/>
  <c r="E14" i="2"/>
  <c r="D14" i="2"/>
  <c r="Q13" i="2"/>
  <c r="O13" i="2"/>
  <c r="F13" i="2"/>
  <c r="E13" i="2"/>
  <c r="D13" i="2"/>
  <c r="Q12" i="2"/>
  <c r="P12" i="2"/>
  <c r="O12" i="2"/>
  <c r="F12" i="2"/>
  <c r="E12" i="2"/>
  <c r="D12" i="2"/>
  <c r="Q11" i="2"/>
  <c r="P11" i="2"/>
  <c r="O11" i="2"/>
  <c r="F11" i="2"/>
  <c r="E11" i="2"/>
  <c r="D11" i="2"/>
  <c r="Q10" i="2"/>
  <c r="P10" i="2"/>
  <c r="O10" i="2"/>
  <c r="F10" i="2"/>
  <c r="E10" i="2"/>
  <c r="D10" i="2"/>
  <c r="R9" i="2"/>
  <c r="Q9" i="2"/>
  <c r="P9" i="2"/>
  <c r="O9" i="2"/>
  <c r="F9" i="2"/>
  <c r="E9" i="2"/>
  <c r="D9" i="2"/>
  <c r="Q8" i="2"/>
  <c r="P8" i="2"/>
  <c r="O8" i="2"/>
  <c r="F8" i="2"/>
  <c r="E8" i="2"/>
  <c r="D8" i="2"/>
  <c r="Q7" i="2"/>
  <c r="P7" i="2"/>
  <c r="O7" i="2"/>
  <c r="F7" i="2"/>
  <c r="E7" i="2"/>
  <c r="D7" i="2"/>
  <c r="Q6" i="2"/>
  <c r="P6" i="2"/>
  <c r="O6" i="2"/>
  <c r="F6" i="2"/>
  <c r="E6" i="2"/>
  <c r="D6" i="2"/>
  <c r="P5" i="2"/>
  <c r="R5" i="2" s="1"/>
  <c r="O5" i="2"/>
  <c r="E5" i="2"/>
  <c r="G5" i="2" s="1"/>
  <c r="D5" i="2"/>
  <c r="R61" i="2" l="1"/>
  <c r="W38" i="2"/>
  <c r="L19" i="2"/>
  <c r="L16" i="2"/>
  <c r="L32" i="2"/>
  <c r="W56" i="2"/>
  <c r="W15" i="2"/>
  <c r="W41" i="2"/>
  <c r="W59" i="2"/>
  <c r="L36" i="2"/>
  <c r="R8" i="2"/>
  <c r="W8" i="2"/>
  <c r="L30" i="2"/>
  <c r="L31" i="2"/>
  <c r="L17" i="2"/>
  <c r="W57" i="2"/>
  <c r="L63" i="2"/>
  <c r="W58" i="2"/>
  <c r="W30" i="2"/>
  <c r="W6" i="2"/>
  <c r="L50" i="2"/>
  <c r="G58" i="2"/>
  <c r="L12" i="2"/>
  <c r="L15" i="2"/>
  <c r="L53" i="2"/>
  <c r="L61" i="2"/>
  <c r="G52" i="2"/>
  <c r="T54" i="2"/>
  <c r="W54" i="2" s="1"/>
  <c r="I39" i="2"/>
  <c r="L39" i="2" s="1"/>
  <c r="G12" i="2"/>
  <c r="G18" i="2"/>
  <c r="I31" i="2"/>
  <c r="G41" i="2"/>
  <c r="S18" i="3"/>
  <c r="G28" i="2"/>
  <c r="R13" i="2"/>
  <c r="G55" i="2"/>
  <c r="R15" i="2"/>
  <c r="I6" i="2"/>
  <c r="L6" i="2" s="1"/>
  <c r="G38" i="2"/>
  <c r="T35" i="2"/>
  <c r="W35" i="2" s="1"/>
  <c r="G8" i="2"/>
  <c r="I50" i="2"/>
  <c r="I53" i="2"/>
  <c r="R7" i="2"/>
  <c r="T62" i="2"/>
  <c r="W62" i="2" s="1"/>
  <c r="G33" i="2"/>
  <c r="H50" i="2"/>
  <c r="I58" i="2"/>
  <c r="L58" i="2" s="1"/>
  <c r="I61" i="2"/>
  <c r="G16" i="2"/>
  <c r="G57" i="2"/>
  <c r="I34" i="2"/>
  <c r="L34" i="2" s="1"/>
  <c r="G30" i="2"/>
  <c r="R53" i="2"/>
  <c r="G60" i="2"/>
  <c r="G11" i="2"/>
  <c r="G17" i="2"/>
  <c r="I37" i="2"/>
  <c r="L37" i="2" s="1"/>
  <c r="F14" i="3"/>
  <c r="I32" i="2"/>
  <c r="I40" i="2"/>
  <c r="L40" i="2" s="1"/>
  <c r="I59" i="2"/>
  <c r="L59" i="2" s="1"/>
  <c r="G31" i="2"/>
  <c r="G39" i="2"/>
  <c r="G50" i="2"/>
  <c r="I51" i="2"/>
  <c r="L51" i="2" s="1"/>
  <c r="T14" i="2"/>
  <c r="W14" i="2" s="1"/>
  <c r="I7" i="2"/>
  <c r="L7" i="2" s="1"/>
  <c r="T8" i="2"/>
  <c r="T9" i="2"/>
  <c r="W9" i="2" s="1"/>
  <c r="T10" i="2"/>
  <c r="W10" i="2" s="1"/>
  <c r="T11" i="2"/>
  <c r="W11" i="2" s="1"/>
  <c r="I19" i="2"/>
  <c r="I17" i="2"/>
  <c r="I18" i="2"/>
  <c r="L18" i="2" s="1"/>
  <c r="T15" i="2"/>
  <c r="R33" i="2"/>
  <c r="T34" i="2"/>
  <c r="W34" i="2" s="1"/>
  <c r="R41" i="2"/>
  <c r="R52" i="2"/>
  <c r="T53" i="2"/>
  <c r="W53" i="2" s="1"/>
  <c r="R60" i="2"/>
  <c r="T61" i="2"/>
  <c r="W61" i="2" s="1"/>
  <c r="T7" i="2"/>
  <c r="W7" i="2" s="1"/>
  <c r="G37" i="2"/>
  <c r="I38" i="2"/>
  <c r="L38" i="2" s="1"/>
  <c r="G56" i="2"/>
  <c r="I57" i="2"/>
  <c r="L57" i="2" s="1"/>
  <c r="R32" i="2"/>
  <c r="R40" i="2"/>
  <c r="T41" i="2"/>
  <c r="R51" i="2"/>
  <c r="T52" i="2"/>
  <c r="W52" i="2" s="1"/>
  <c r="R59" i="2"/>
  <c r="T60" i="2"/>
  <c r="W60" i="2" s="1"/>
  <c r="I56" i="2"/>
  <c r="L56" i="2" s="1"/>
  <c r="G63" i="2"/>
  <c r="G14" i="2"/>
  <c r="R31" i="2"/>
  <c r="R39" i="2"/>
  <c r="T40" i="2"/>
  <c r="W40" i="2" s="1"/>
  <c r="R50" i="2"/>
  <c r="T51" i="2"/>
  <c r="W51" i="2" s="1"/>
  <c r="R58" i="2"/>
  <c r="T59" i="2"/>
  <c r="G15" i="2"/>
  <c r="G13" i="2"/>
  <c r="R19" i="2"/>
  <c r="T32" i="2"/>
  <c r="W32" i="2" s="1"/>
  <c r="G10" i="2"/>
  <c r="I12" i="2"/>
  <c r="R17" i="2"/>
  <c r="T19" i="2"/>
  <c r="W19" i="2" s="1"/>
  <c r="I28" i="2"/>
  <c r="L28" i="2" s="1"/>
  <c r="G35" i="2"/>
  <c r="I36" i="2"/>
  <c r="S50" i="2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G54" i="2"/>
  <c r="I55" i="2"/>
  <c r="L55" i="2" s="1"/>
  <c r="G62" i="2"/>
  <c r="I63" i="2"/>
  <c r="S6" i="2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T6" i="2"/>
  <c r="I15" i="2"/>
  <c r="T33" i="2"/>
  <c r="W33" i="2" s="1"/>
  <c r="I29" i="2"/>
  <c r="L29" i="2" s="1"/>
  <c r="G36" i="2"/>
  <c r="I13" i="2"/>
  <c r="L13" i="2" s="1"/>
  <c r="G9" i="2"/>
  <c r="I11" i="2"/>
  <c r="L11" i="2" s="1"/>
  <c r="R16" i="2"/>
  <c r="T18" i="2"/>
  <c r="W18" i="2" s="1"/>
  <c r="R30" i="2"/>
  <c r="T31" i="2"/>
  <c r="W31" i="2" s="1"/>
  <c r="R38" i="2"/>
  <c r="T39" i="2"/>
  <c r="W39" i="2" s="1"/>
  <c r="T50" i="2"/>
  <c r="W50" i="2" s="1"/>
  <c r="R57" i="2"/>
  <c r="T58" i="2"/>
  <c r="I16" i="2"/>
  <c r="I10" i="2"/>
  <c r="L10" i="2" s="1"/>
  <c r="T17" i="2"/>
  <c r="W17" i="2" s="1"/>
  <c r="G34" i="2"/>
  <c r="I35" i="2"/>
  <c r="L35" i="2" s="1"/>
  <c r="G53" i="2"/>
  <c r="I54" i="2"/>
  <c r="L54" i="2" s="1"/>
  <c r="G61" i="2"/>
  <c r="I62" i="2"/>
  <c r="L62" i="2" s="1"/>
  <c r="G7" i="2"/>
  <c r="I9" i="2"/>
  <c r="L9" i="2" s="1"/>
  <c r="R14" i="2"/>
  <c r="T16" i="2"/>
  <c r="W16" i="2" s="1"/>
  <c r="R29" i="2"/>
  <c r="T30" i="2"/>
  <c r="R37" i="2"/>
  <c r="T38" i="2"/>
  <c r="R56" i="2"/>
  <c r="T57" i="2"/>
  <c r="H28" i="2"/>
  <c r="I8" i="2"/>
  <c r="L8" i="2" s="1"/>
  <c r="I30" i="2"/>
  <c r="R18" i="2"/>
  <c r="R12" i="2"/>
  <c r="R28" i="2"/>
  <c r="T29" i="2"/>
  <c r="W29" i="2" s="1"/>
  <c r="R36" i="2"/>
  <c r="T37" i="2"/>
  <c r="W37" i="2" s="1"/>
  <c r="R55" i="2"/>
  <c r="T56" i="2"/>
  <c r="R63" i="2"/>
  <c r="R6" i="2"/>
  <c r="I14" i="2"/>
  <c r="L14" i="2" s="1"/>
  <c r="G6" i="2"/>
  <c r="H6" i="2"/>
  <c r="R11" i="2"/>
  <c r="T13" i="2"/>
  <c r="W13" i="2" s="1"/>
  <c r="S28" i="2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G32" i="2"/>
  <c r="I33" i="2"/>
  <c r="L33" i="2" s="1"/>
  <c r="G40" i="2"/>
  <c r="I41" i="2"/>
  <c r="L41" i="2" s="1"/>
  <c r="G51" i="2"/>
  <c r="I52" i="2"/>
  <c r="L52" i="2" s="1"/>
  <c r="G59" i="2"/>
  <c r="I60" i="2"/>
  <c r="L60" i="2" s="1"/>
  <c r="R10" i="2"/>
  <c r="T12" i="2"/>
  <c r="W12" i="2" s="1"/>
  <c r="G19" i="2"/>
  <c r="T28" i="2"/>
  <c r="W28" i="2" s="1"/>
  <c r="R35" i="2"/>
  <c r="T36" i="2"/>
  <c r="W36" i="2" s="1"/>
  <c r="R54" i="2"/>
  <c r="T55" i="2"/>
  <c r="W55" i="2" s="1"/>
  <c r="R62" i="2"/>
  <c r="T63" i="2"/>
  <c r="W63" i="2" s="1"/>
  <c r="G29" i="2"/>
  <c r="S39" i="2" l="1"/>
  <c r="S40" i="2" s="1"/>
  <c r="S41" i="2" s="1"/>
  <c r="H51" i="2"/>
  <c r="AI5" i="3"/>
  <c r="H29" i="2"/>
  <c r="V5" i="3"/>
  <c r="H7" i="2"/>
  <c r="I5" i="3"/>
  <c r="AA18" i="3"/>
  <c r="AN5" i="3"/>
  <c r="N6" i="3"/>
  <c r="N7" i="3"/>
  <c r="N8" i="3"/>
  <c r="N9" i="3"/>
  <c r="N10" i="3"/>
  <c r="N5" i="3"/>
  <c r="AK5" i="3"/>
  <c r="AK4" i="3"/>
  <c r="X5" i="3"/>
  <c r="X4" i="3"/>
  <c r="K5" i="3"/>
  <c r="K4" i="3"/>
  <c r="H8" i="2" l="1"/>
  <c r="I6" i="3"/>
  <c r="H30" i="2"/>
  <c r="V6" i="3"/>
  <c r="H52" i="2"/>
  <c r="AI6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H31" i="2" l="1"/>
  <c r="V7" i="3"/>
  <c r="H9" i="2"/>
  <c r="I7" i="3"/>
  <c r="H53" i="2"/>
  <c r="AI7" i="3"/>
  <c r="R14" i="3"/>
  <c r="S14" i="3"/>
  <c r="F16" i="3"/>
  <c r="E16" i="3"/>
  <c r="S16" i="3"/>
  <c r="R16" i="3"/>
  <c r="E14" i="3"/>
  <c r="S17" i="3"/>
  <c r="R17" i="3"/>
  <c r="AF17" i="3"/>
  <c r="AE17" i="3"/>
  <c r="AE10" i="3"/>
  <c r="AF10" i="3"/>
  <c r="AE13" i="3"/>
  <c r="AF13" i="3"/>
  <c r="F17" i="3"/>
  <c r="E17" i="3"/>
  <c r="R18" i="3"/>
  <c r="AF18" i="3"/>
  <c r="AE18" i="3"/>
  <c r="AF15" i="3"/>
  <c r="AE15" i="3"/>
  <c r="AF12" i="3"/>
  <c r="AE12" i="3"/>
  <c r="AF14" i="3"/>
  <c r="AE14" i="3"/>
  <c r="F18" i="3"/>
  <c r="E18" i="3"/>
  <c r="AF16" i="3"/>
  <c r="AE16" i="3"/>
  <c r="AF11" i="3"/>
  <c r="AE11" i="3"/>
  <c r="F15" i="3"/>
  <c r="E15" i="3"/>
  <c r="AF9" i="3"/>
  <c r="AE9" i="3"/>
  <c r="S15" i="3"/>
  <c r="R15" i="3"/>
  <c r="M15" i="3" l="1"/>
  <c r="AM13" i="3"/>
  <c r="Z17" i="3"/>
  <c r="AM18" i="3"/>
  <c r="Z18" i="3"/>
  <c r="H54" i="2"/>
  <c r="AI8" i="3"/>
  <c r="H10" i="2"/>
  <c r="I8" i="3"/>
  <c r="H32" i="2"/>
  <c r="V8" i="3"/>
  <c r="AJ12" i="3"/>
  <c r="AM12" i="3" s="1"/>
  <c r="AG12" i="3"/>
  <c r="AG18" i="3"/>
  <c r="AJ18" i="3"/>
  <c r="AJ17" i="3"/>
  <c r="AG17" i="3"/>
  <c r="J15" i="3"/>
  <c r="G15" i="3"/>
  <c r="J17" i="3"/>
  <c r="G17" i="3"/>
  <c r="S9" i="3"/>
  <c r="R9" i="3"/>
  <c r="G18" i="3"/>
  <c r="J18" i="3"/>
  <c r="S7" i="3"/>
  <c r="R7" i="3"/>
  <c r="G14" i="3"/>
  <c r="S10" i="3"/>
  <c r="R10" i="3"/>
  <c r="AJ13" i="3"/>
  <c r="AG13" i="3"/>
  <c r="T17" i="3"/>
  <c r="W17" i="3"/>
  <c r="AG9" i="3"/>
  <c r="T16" i="3"/>
  <c r="W16" i="3"/>
  <c r="Z16" i="3" s="1"/>
  <c r="T14" i="3"/>
  <c r="S11" i="3"/>
  <c r="R11" i="3"/>
  <c r="S12" i="3"/>
  <c r="R12" i="3"/>
  <c r="AG14" i="3"/>
  <c r="AJ14" i="3"/>
  <c r="AM14" i="3" s="1"/>
  <c r="AJ15" i="3"/>
  <c r="AM15" i="3" s="1"/>
  <c r="AG15" i="3"/>
  <c r="W18" i="3"/>
  <c r="T18" i="3"/>
  <c r="S13" i="3"/>
  <c r="R13" i="3"/>
  <c r="T15" i="3"/>
  <c r="W15" i="3"/>
  <c r="AG16" i="3"/>
  <c r="AJ16" i="3"/>
  <c r="AM16" i="3" s="1"/>
  <c r="AG10" i="3"/>
  <c r="AJ10" i="3"/>
  <c r="AG11" i="3"/>
  <c r="AJ11" i="3"/>
  <c r="AM11" i="3" s="1"/>
  <c r="E7" i="3"/>
  <c r="G16" i="3"/>
  <c r="J16" i="3"/>
  <c r="F7" i="3"/>
  <c r="AM17" i="3" l="1"/>
  <c r="M16" i="3"/>
  <c r="Z15" i="3"/>
  <c r="M18" i="3"/>
  <c r="M17" i="3"/>
  <c r="Z10" i="3"/>
  <c r="AM10" i="3"/>
  <c r="H33" i="2"/>
  <c r="V9" i="3"/>
  <c r="H11" i="2"/>
  <c r="I9" i="3"/>
  <c r="H55" i="2"/>
  <c r="AI9" i="3"/>
  <c r="W14" i="3"/>
  <c r="W12" i="3"/>
  <c r="Z12" i="3" s="1"/>
  <c r="T12" i="3"/>
  <c r="T13" i="3"/>
  <c r="W13" i="3"/>
  <c r="F12" i="3"/>
  <c r="E12" i="3"/>
  <c r="T7" i="3"/>
  <c r="T9" i="3"/>
  <c r="F11" i="3"/>
  <c r="E11" i="3"/>
  <c r="G7" i="3"/>
  <c r="F13" i="3"/>
  <c r="E13" i="3"/>
  <c r="T11" i="3"/>
  <c r="W11" i="3"/>
  <c r="Z11" i="3" s="1"/>
  <c r="T10" i="3"/>
  <c r="W10" i="3"/>
  <c r="Z14" i="3" l="1"/>
  <c r="M14" i="3"/>
  <c r="Z13" i="3"/>
  <c r="H56" i="2"/>
  <c r="AI10" i="3"/>
  <c r="H12" i="2"/>
  <c r="I10" i="3"/>
  <c r="H34" i="2"/>
  <c r="V10" i="3"/>
  <c r="F8" i="3"/>
  <c r="E8" i="3"/>
  <c r="F10" i="3"/>
  <c r="E10" i="3"/>
  <c r="J12" i="3"/>
  <c r="M12" i="3" s="1"/>
  <c r="G12" i="3"/>
  <c r="J13" i="3"/>
  <c r="G13" i="3"/>
  <c r="J14" i="3"/>
  <c r="G11" i="3"/>
  <c r="S8" i="3"/>
  <c r="R8" i="3"/>
  <c r="F9" i="3"/>
  <c r="E9" i="3"/>
  <c r="AF8" i="3"/>
  <c r="AE8" i="3"/>
  <c r="AN10" i="3"/>
  <c r="J11" i="3" l="1"/>
  <c r="M11" i="3" s="1"/>
  <c r="M9" i="3"/>
  <c r="Z8" i="3"/>
  <c r="Z9" i="3"/>
  <c r="AM9" i="3"/>
  <c r="M13" i="3"/>
  <c r="H57" i="2"/>
  <c r="AI11" i="3"/>
  <c r="H35" i="2"/>
  <c r="V11" i="3"/>
  <c r="H13" i="2"/>
  <c r="I11" i="3"/>
  <c r="E6" i="3"/>
  <c r="F6" i="3"/>
  <c r="G10" i="3"/>
  <c r="J10" i="3"/>
  <c r="M10" i="3" s="1"/>
  <c r="E5" i="3"/>
  <c r="F5" i="3"/>
  <c r="AE5" i="3"/>
  <c r="AF5" i="3"/>
  <c r="AG8" i="3"/>
  <c r="AJ9" i="3"/>
  <c r="AF6" i="3"/>
  <c r="AE6" i="3"/>
  <c r="T8" i="3"/>
  <c r="W8" i="3"/>
  <c r="W9" i="3"/>
  <c r="AA11" i="3"/>
  <c r="S5" i="3"/>
  <c r="R5" i="3"/>
  <c r="AF7" i="3"/>
  <c r="AE7" i="3"/>
  <c r="G8" i="3"/>
  <c r="J8" i="3"/>
  <c r="R6" i="3"/>
  <c r="S6" i="3"/>
  <c r="G9" i="3"/>
  <c r="J9" i="3"/>
  <c r="AA10" i="3"/>
  <c r="AN8" i="3"/>
  <c r="AN12" i="3"/>
  <c r="AN15" i="3"/>
  <c r="AA8" i="3"/>
  <c r="AA12" i="3"/>
  <c r="AN14" i="3"/>
  <c r="AN7" i="3"/>
  <c r="AA9" i="3"/>
  <c r="AA14" i="3"/>
  <c r="AN6" i="3"/>
  <c r="AA7" i="3"/>
  <c r="AN11" i="3"/>
  <c r="AN9" i="3"/>
  <c r="AN13" i="3"/>
  <c r="AA13" i="3"/>
  <c r="AJ8" i="3" l="1"/>
  <c r="M8" i="3"/>
  <c r="Z6" i="3"/>
  <c r="M7" i="3"/>
  <c r="AM8" i="3"/>
  <c r="H36" i="2"/>
  <c r="V12" i="3"/>
  <c r="H58" i="2"/>
  <c r="AI12" i="3"/>
  <c r="H14" i="2"/>
  <c r="I12" i="3"/>
  <c r="AA16" i="3"/>
  <c r="T6" i="3"/>
  <c r="W6" i="3"/>
  <c r="W7" i="3"/>
  <c r="R4" i="3"/>
  <c r="U5" i="3" s="1"/>
  <c r="U6" i="3" s="1"/>
  <c r="U7" i="3" s="1"/>
  <c r="U8" i="3" s="1"/>
  <c r="U9" i="3" s="1"/>
  <c r="U10" i="3" s="1"/>
  <c r="U11" i="3" s="1"/>
  <c r="U12" i="3" s="1"/>
  <c r="U13" i="3" s="1"/>
  <c r="U14" i="3" s="1"/>
  <c r="U15" i="3" s="1"/>
  <c r="U16" i="3" s="1"/>
  <c r="U17" i="3" s="1"/>
  <c r="U18" i="3" s="1"/>
  <c r="S4" i="3"/>
  <c r="AF4" i="3"/>
  <c r="AE4" i="3"/>
  <c r="AA5" i="3"/>
  <c r="T5" i="3"/>
  <c r="AG5" i="3"/>
  <c r="AJ6" i="3"/>
  <c r="AM6" i="3" s="1"/>
  <c r="AG6" i="3"/>
  <c r="AJ7" i="3"/>
  <c r="AG7" i="3"/>
  <c r="G5" i="3"/>
  <c r="J6" i="3"/>
  <c r="G6" i="3"/>
  <c r="J7" i="3"/>
  <c r="AN18" i="3"/>
  <c r="AA6" i="3"/>
  <c r="AA17" i="3"/>
  <c r="AA15" i="3"/>
  <c r="AN17" i="3"/>
  <c r="AN16" i="3"/>
  <c r="N11" i="3"/>
  <c r="N14" i="3"/>
  <c r="AH5" i="3" l="1"/>
  <c r="AH6" i="3" s="1"/>
  <c r="AH7" i="3" s="1"/>
  <c r="AH8" i="3" s="1"/>
  <c r="AH9" i="3" s="1"/>
  <c r="AH10" i="3" s="1"/>
  <c r="AH11" i="3" s="1"/>
  <c r="AH12" i="3" s="1"/>
  <c r="AH13" i="3" s="1"/>
  <c r="AH14" i="3" s="1"/>
  <c r="AH15" i="3" s="1"/>
  <c r="AH16" i="3" s="1"/>
  <c r="AH17" i="3" s="1"/>
  <c r="AH18" i="3" s="1"/>
  <c r="M6" i="3"/>
  <c r="Z5" i="3"/>
  <c r="AM7" i="3"/>
  <c r="Z7" i="3"/>
  <c r="H15" i="2"/>
  <c r="I13" i="3"/>
  <c r="H59" i="2"/>
  <c r="AI13" i="3"/>
  <c r="H37" i="2"/>
  <c r="V13" i="3"/>
  <c r="AJ5" i="3"/>
  <c r="AM5" i="3" s="1"/>
  <c r="T4" i="3"/>
  <c r="AG4" i="3"/>
  <c r="F4" i="3"/>
  <c r="E4" i="3"/>
  <c r="W5" i="3"/>
  <c r="N12" i="3"/>
  <c r="N18" i="3"/>
  <c r="N16" i="3"/>
  <c r="N13" i="3"/>
  <c r="N15" i="3"/>
  <c r="N17" i="3"/>
  <c r="M5" i="3" l="1"/>
  <c r="H38" i="2"/>
  <c r="V14" i="3"/>
  <c r="H60" i="2"/>
  <c r="AI14" i="3"/>
  <c r="H16" i="2"/>
  <c r="I14" i="3"/>
  <c r="G4" i="3"/>
  <c r="H5" i="3"/>
  <c r="J5" i="3"/>
  <c r="C4" i="1"/>
  <c r="B6" i="1" s="1"/>
  <c r="H6" i="3" l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7" i="2"/>
  <c r="I15" i="3"/>
  <c r="H61" i="2"/>
  <c r="AI15" i="3"/>
  <c r="H39" i="2"/>
  <c r="V15" i="3"/>
  <c r="M3" i="1"/>
  <c r="C3" i="1"/>
  <c r="B10" i="1"/>
  <c r="H40" i="2" l="1"/>
  <c r="V16" i="3"/>
  <c r="H62" i="2"/>
  <c r="AI16" i="3"/>
  <c r="H18" i="2"/>
  <c r="I16" i="3"/>
  <c r="I4" i="1"/>
  <c r="M2" i="1" s="1"/>
  <c r="H19" i="2" l="1"/>
  <c r="I18" i="3" s="1"/>
  <c r="I17" i="3"/>
  <c r="H63" i="2"/>
  <c r="AI18" i="3" s="1"/>
  <c r="AI17" i="3"/>
  <c r="H41" i="2"/>
  <c r="V18" i="3" s="1"/>
  <c r="V17" i="3"/>
  <c r="J4" i="1"/>
  <c r="I5" i="1"/>
  <c r="I6" i="1" l="1"/>
  <c r="J5" i="1"/>
  <c r="I7" i="1" l="1"/>
  <c r="J6" i="1"/>
  <c r="I8" i="1" l="1"/>
  <c r="J7" i="1"/>
  <c r="I9" i="1" l="1"/>
  <c r="J8" i="1"/>
  <c r="I10" i="1" l="1"/>
  <c r="J9" i="1"/>
  <c r="I11" i="1" l="1"/>
  <c r="J10" i="1"/>
  <c r="J11" i="1" l="1"/>
  <c r="I12" i="1"/>
  <c r="J12" i="1" l="1"/>
  <c r="I13" i="1"/>
  <c r="J13" i="1" l="1"/>
  <c r="I14" i="1"/>
  <c r="J14" i="1" l="1"/>
  <c r="I15" i="1"/>
  <c r="I16" i="1" l="1"/>
  <c r="J15" i="1"/>
  <c r="I17" i="1" l="1"/>
  <c r="J16" i="1"/>
  <c r="I18" i="1" l="1"/>
  <c r="J18" i="1" s="1"/>
  <c r="J17" i="1"/>
  <c r="J19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<sst xmlns="http://schemas.openxmlformats.org/spreadsheetml/2006/main" count="137" uniqueCount="42">
  <si>
    <t xml:space="preserve">Initial Volume = </t>
  </si>
  <si>
    <t xml:space="preserve">Daily Sampling = </t>
  </si>
  <si>
    <t>mL</t>
  </si>
  <si>
    <t xml:space="preserve">Daily Smapling = </t>
  </si>
  <si>
    <t>ml</t>
  </si>
  <si>
    <t>μl</t>
  </si>
  <si>
    <t>HPLC A.A analysis</t>
  </si>
  <si>
    <t>Antinody titre quantification</t>
  </si>
  <si>
    <t>Cell counting</t>
  </si>
  <si>
    <t>Day</t>
  </si>
  <si>
    <t>Volume</t>
  </si>
  <si>
    <t>Feed</t>
  </si>
  <si>
    <t>Days used for FBA Bounds</t>
  </si>
  <si>
    <t>Stationary phase</t>
  </si>
  <si>
    <t xml:space="preserve">Feed = </t>
  </si>
  <si>
    <t>% Change from 30mL</t>
  </si>
  <si>
    <t>Rest to keep the volume steady</t>
  </si>
  <si>
    <t>Temperature</t>
  </si>
  <si>
    <t>CO2</t>
  </si>
  <si>
    <t xml:space="preserve">Flasks = </t>
  </si>
  <si>
    <t xml:space="preserve">Total CD-CHO = </t>
  </si>
  <si>
    <t xml:space="preserve">Total FeedC = </t>
  </si>
  <si>
    <t>Viability</t>
  </si>
  <si>
    <t>DCD</t>
  </si>
  <si>
    <t xml:space="preserve">IgG </t>
  </si>
  <si>
    <t>Titre, g/l</t>
  </si>
  <si>
    <t>Sp. Q. pg/cell/day</t>
  </si>
  <si>
    <t>Integral of Viable Cell Concentration (IVCC)</t>
  </si>
  <si>
    <t>Daily Growth Rate</t>
  </si>
  <si>
    <t>VCD (1E6 cells/mL)</t>
  </si>
  <si>
    <t>Qp Standard Deviation</t>
  </si>
  <si>
    <t>VCD std</t>
  </si>
  <si>
    <t>36.5C thought culture: CHO-GS46, Sarantos Feed C</t>
  </si>
  <si>
    <t>Qp titer</t>
  </si>
  <si>
    <t>CHO-GS46-B</t>
  </si>
  <si>
    <t>CHO-GS46</t>
  </si>
  <si>
    <t>CHO-GS46'</t>
  </si>
  <si>
    <t>CHO_GS46</t>
  </si>
  <si>
    <t>CHO_GS46'</t>
  </si>
  <si>
    <t>CHO_GS46_B</t>
  </si>
  <si>
    <t>IVCD std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</si>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</sst>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%"/>
    <numFmt numFmtId="165" formatCode="0.00000"/>
    <numFmt numFmtId="166" formatCode="0.0000"/>
    <numFmt numFmtId="167" formatCode="0.000"/>
    <numFmt numFmtId="168" formatCode="0.00000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5" fillId="5" borderId="2" applyNumberFormat="0" applyAlignment="0" applyProtection="0"/>
    <xf numFmtId="0" fontId="6" fillId="5" borderId="1" applyNumberFormat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2"/>
    <xf numFmtId="0" fontId="3" fillId="3" borderId="0" xfId="3"/>
    <xf numFmtId="9" fontId="0" fillId="0" borderId="0" xfId="1" applyFont="1"/>
    <xf numFmtId="9" fontId="0" fillId="0" borderId="0" xfId="0" applyNumberFormat="1"/>
    <xf numFmtId="0" fontId="6" fillId="5" borderId="1" xfId="6"/>
    <xf numFmtId="0" fontId="4" fillId="4" borderId="1" xfId="4"/>
    <xf numFmtId="164" fontId="5" fillId="5" borderId="2" xfId="5" applyNumberFormat="1"/>
    <xf numFmtId="0" fontId="5" fillId="5" borderId="2" xfId="5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9" fontId="0" fillId="0" borderId="0" xfId="1" applyFont="1" applyBorder="1"/>
    <xf numFmtId="165" fontId="0" fillId="0" borderId="0" xfId="0" applyNumberFormat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9" fontId="0" fillId="0" borderId="9" xfId="1" applyFont="1" applyBorder="1"/>
    <xf numFmtId="2" fontId="0" fillId="0" borderId="9" xfId="0" applyNumberFormat="1" applyBorder="1"/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2" fontId="0" fillId="0" borderId="0" xfId="1" applyNumberFormat="1" applyFont="1" applyBorder="1"/>
    <xf numFmtId="2" fontId="0" fillId="0" borderId="9" xfId="1" applyNumberFormat="1" applyFont="1" applyBorder="1"/>
    <xf numFmtId="0" fontId="0" fillId="0" borderId="4" xfId="0" applyBorder="1" applyAlignment="1">
      <alignment horizontal="center" vertical="center" wrapText="1"/>
    </xf>
    <xf numFmtId="165" fontId="0" fillId="0" borderId="4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vertical="center" wrapText="1"/>
    </xf>
    <xf numFmtId="0" fontId="7" fillId="0" borderId="0" xfId="0" applyFont="1"/>
    <xf numFmtId="0" fontId="7" fillId="0" borderId="9" xfId="0" applyFont="1" applyBorder="1"/>
    <xf numFmtId="0" fontId="8" fillId="0" borderId="0" xfId="0" applyFont="1"/>
    <xf numFmtId="0" fontId="2" fillId="2" borderId="6" xfId="2" applyBorder="1"/>
    <xf numFmtId="0" fontId="2" fillId="2" borderId="0" xfId="2" applyBorder="1"/>
    <xf numFmtId="2" fontId="2" fillId="2" borderId="0" xfId="2" applyNumberFormat="1" applyBorder="1"/>
    <xf numFmtId="9" fontId="2" fillId="2" borderId="0" xfId="2" applyNumberFormat="1" applyBorder="1"/>
    <xf numFmtId="0" fontId="2" fillId="2" borderId="7" xfId="2" applyBorder="1"/>
    <xf numFmtId="0" fontId="2" fillId="2" borderId="0" xfId="2" applyBorder="1" applyAlignment="1">
      <alignment horizontal="center" vertical="center" wrapText="1"/>
    </xf>
    <xf numFmtId="166" fontId="0" fillId="0" borderId="0" xfId="0" applyNumberFormat="1"/>
    <xf numFmtId="166" fontId="0" fillId="0" borderId="0" xfId="1" applyNumberFormat="1" applyFont="1" applyBorder="1"/>
    <xf numFmtId="167" fontId="0" fillId="0" borderId="0" xfId="0" applyNumberFormat="1"/>
    <xf numFmtId="167" fontId="0" fillId="0" borderId="0" xfId="1" applyNumberFormat="1" applyFont="1" applyBorder="1"/>
    <xf numFmtId="167" fontId="0" fillId="0" borderId="7" xfId="0" applyNumberFormat="1" applyBorder="1"/>
    <xf numFmtId="167" fontId="0" fillId="0" borderId="9" xfId="0" applyNumberFormat="1" applyBorder="1"/>
    <xf numFmtId="167" fontId="0" fillId="0" borderId="9" xfId="1" applyNumberFormat="1" applyFont="1" applyBorder="1"/>
    <xf numFmtId="167" fontId="0" fillId="0" borderId="10" xfId="0" applyNumberFormat="1" applyBorder="1"/>
    <xf numFmtId="1" fontId="0" fillId="0" borderId="6" xfId="0" applyNumberFormat="1" applyBorder="1"/>
    <xf numFmtId="1" fontId="0" fillId="0" borderId="0" xfId="0" applyNumberFormat="1"/>
    <xf numFmtId="1" fontId="0" fillId="0" borderId="8" xfId="0" applyNumberFormat="1" applyBorder="1"/>
    <xf numFmtId="1" fontId="0" fillId="0" borderId="9" xfId="0" applyNumberFormat="1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7" fontId="0" fillId="0" borderId="0" xfId="1" applyNumberFormat="1" applyFont="1" applyFill="1" applyBorder="1"/>
    <xf numFmtId="1" fontId="0" fillId="0" borderId="14" xfId="0" applyNumberFormat="1" applyBorder="1"/>
    <xf numFmtId="167" fontId="0" fillId="0" borderId="14" xfId="0" applyNumberFormat="1" applyBorder="1"/>
    <xf numFmtId="167" fontId="0" fillId="0" borderId="14" xfId="1" applyNumberFormat="1" applyFont="1" applyBorder="1"/>
    <xf numFmtId="1" fontId="0" fillId="0" borderId="15" xfId="0" applyNumberFormat="1" applyBorder="1"/>
    <xf numFmtId="167" fontId="0" fillId="0" borderId="15" xfId="0" applyNumberFormat="1" applyBorder="1"/>
    <xf numFmtId="167" fontId="0" fillId="0" borderId="15" xfId="1" applyNumberFormat="1" applyFont="1" applyBorder="1"/>
    <xf numFmtId="168" fontId="0" fillId="0" borderId="0" xfId="1" applyNumberFormat="1" applyFont="1"/>
    <xf numFmtId="1" fontId="0" fillId="0" borderId="16" xfId="0" applyNumberFormat="1" applyBorder="1"/>
    <xf numFmtId="167" fontId="0" fillId="0" borderId="17" xfId="0" applyNumberFormat="1" applyBorder="1"/>
    <xf numFmtId="1" fontId="0" fillId="0" borderId="18" xfId="0" applyNumberFormat="1" applyBorder="1"/>
    <xf numFmtId="167" fontId="0" fillId="0" borderId="19" xfId="0" applyNumberFormat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</cellXfs>
  <cellStyles count="7">
    <cellStyle name="Bad" xfId="3" builtinId="27"/>
    <cellStyle name="Calculation" xfId="6" builtinId="22"/>
    <cellStyle name="Good" xfId="2" builtinId="26"/>
    <cellStyle name="Input" xfId="4" builtinId="20"/>
    <cellStyle name="Normal" xfId="0" builtinId="0"/>
    <cellStyle name="Output" xfId="5" builtinId="21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Results!$E$26</c:f>
              <c:strCache>
                <c:ptCount val="1"/>
                <c:pt idx="0">
                  <c:v>VCD (1E6 cells/mL)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Results!$C$27:$C$41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Results!$E$27:$E$41</c:f>
              <c:numCache>
                <c:formatCode>0.00</c:formatCode>
                <c:ptCount val="15"/>
                <c:pt idx="0">
                  <c:v>0.2</c:v>
                </c:pt>
                <c:pt idx="1">
                  <c:v>0.42</c:v>
                </c:pt>
                <c:pt idx="2">
                  <c:v>0.81</c:v>
                </c:pt>
                <c:pt idx="3">
                  <c:v>1.7</c:v>
                </c:pt>
                <c:pt idx="4">
                  <c:v>6</c:v>
                </c:pt>
                <c:pt idx="5">
                  <c:v>5.94</c:v>
                </c:pt>
                <c:pt idx="6">
                  <c:v>6.8</c:v>
                </c:pt>
                <c:pt idx="7">
                  <c:v>10.050000000000001</c:v>
                </c:pt>
                <c:pt idx="8">
                  <c:v>10.25</c:v>
                </c:pt>
                <c:pt idx="9">
                  <c:v>11.7</c:v>
                </c:pt>
                <c:pt idx="10">
                  <c:v>10.45</c:v>
                </c:pt>
                <c:pt idx="11">
                  <c:v>8.15</c:v>
                </c:pt>
                <c:pt idx="12">
                  <c:v>7.5</c:v>
                </c:pt>
                <c:pt idx="13">
                  <c:v>7</c:v>
                </c:pt>
                <c:pt idx="14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59-2A44-BE51-31593974EA33}"/>
            </c:ext>
          </c:extLst>
        </c:ser>
        <c:ser>
          <c:idx val="1"/>
          <c:order val="1"/>
          <c:tx>
            <c:strRef>
              <c:f>Results!$P$26</c:f>
              <c:strCache>
                <c:ptCount val="1"/>
                <c:pt idx="0">
                  <c:v>VCD (1E6 cells/mL)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Results!$N$27:$N$41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Results!$P$27:$P$41</c:f>
              <c:numCache>
                <c:formatCode>0.00</c:formatCode>
                <c:ptCount val="15"/>
                <c:pt idx="0">
                  <c:v>0.2</c:v>
                </c:pt>
                <c:pt idx="1">
                  <c:v>0.33600000000000002</c:v>
                </c:pt>
                <c:pt idx="2">
                  <c:v>0.77600000000000002</c:v>
                </c:pt>
                <c:pt idx="3">
                  <c:v>1.26</c:v>
                </c:pt>
                <c:pt idx="4">
                  <c:v>3.7440000000000002</c:v>
                </c:pt>
                <c:pt idx="5">
                  <c:v>3.96</c:v>
                </c:pt>
                <c:pt idx="6">
                  <c:v>5.48</c:v>
                </c:pt>
                <c:pt idx="7">
                  <c:v>7.5</c:v>
                </c:pt>
                <c:pt idx="8">
                  <c:v>9.25</c:v>
                </c:pt>
                <c:pt idx="9">
                  <c:v>10</c:v>
                </c:pt>
                <c:pt idx="10">
                  <c:v>10.65</c:v>
                </c:pt>
                <c:pt idx="11">
                  <c:v>9.25</c:v>
                </c:pt>
                <c:pt idx="12">
                  <c:v>7.2</c:v>
                </c:pt>
                <c:pt idx="13">
                  <c:v>6.8</c:v>
                </c:pt>
                <c:pt idx="14">
                  <c:v>6.92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D94-3144-925D-4AD13A454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209743"/>
        <c:axId val="2044280735"/>
      </c:scatterChart>
      <c:valAx>
        <c:axId val="2044209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80735"/>
        <c:crosses val="autoZero"/>
        <c:crossBetween val="midCat"/>
      </c:valAx>
      <c:valAx>
        <c:axId val="2044280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097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Results!$E$48</c:f>
              <c:strCache>
                <c:ptCount val="1"/>
                <c:pt idx="0">
                  <c:v>VCD (1E6 cells/mL)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Results!$C$49:$C$63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Results!$E$49:$E$63</c:f>
              <c:numCache>
                <c:formatCode>0.00</c:formatCode>
                <c:ptCount val="15"/>
                <c:pt idx="0">
                  <c:v>0.2</c:v>
                </c:pt>
                <c:pt idx="1">
                  <c:v>0.39600000000000002</c:v>
                </c:pt>
                <c:pt idx="2">
                  <c:v>0.74399999999999999</c:v>
                </c:pt>
                <c:pt idx="3">
                  <c:v>0.9</c:v>
                </c:pt>
                <c:pt idx="4">
                  <c:v>3.1920000000000002</c:v>
                </c:pt>
                <c:pt idx="5">
                  <c:v>4.2960000000000003</c:v>
                </c:pt>
                <c:pt idx="6">
                  <c:v>6.56</c:v>
                </c:pt>
                <c:pt idx="7">
                  <c:v>7</c:v>
                </c:pt>
                <c:pt idx="8">
                  <c:v>10.36</c:v>
                </c:pt>
                <c:pt idx="9">
                  <c:v>9.1999999999999993</c:v>
                </c:pt>
                <c:pt idx="10">
                  <c:v>10.24</c:v>
                </c:pt>
                <c:pt idx="11">
                  <c:v>6.8</c:v>
                </c:pt>
                <c:pt idx="12">
                  <c:v>8.48</c:v>
                </c:pt>
                <c:pt idx="13">
                  <c:v>7.68</c:v>
                </c:pt>
                <c:pt idx="14">
                  <c:v>5.76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C0-844D-A782-F79037AE89C8}"/>
            </c:ext>
          </c:extLst>
        </c:ser>
        <c:ser>
          <c:idx val="1"/>
          <c:order val="1"/>
          <c:tx>
            <c:strRef>
              <c:f>Results!$P$48</c:f>
              <c:strCache>
                <c:ptCount val="1"/>
                <c:pt idx="0">
                  <c:v>VCD (1E6 cells/mL)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Results!$N$49:$N$63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Results!$P$49:$P$63</c:f>
              <c:numCache>
                <c:formatCode>0.00</c:formatCode>
                <c:ptCount val="15"/>
                <c:pt idx="0">
                  <c:v>0.2</c:v>
                </c:pt>
                <c:pt idx="1">
                  <c:v>0.39600000000000002</c:v>
                </c:pt>
                <c:pt idx="2">
                  <c:v>0.61599999999999999</c:v>
                </c:pt>
                <c:pt idx="3">
                  <c:v>0.97</c:v>
                </c:pt>
                <c:pt idx="4">
                  <c:v>2.52</c:v>
                </c:pt>
                <c:pt idx="5">
                  <c:v>3.948</c:v>
                </c:pt>
                <c:pt idx="6">
                  <c:v>4.8639999999999999</c:v>
                </c:pt>
                <c:pt idx="7">
                  <c:v>8.52</c:v>
                </c:pt>
                <c:pt idx="8">
                  <c:v>9.24</c:v>
                </c:pt>
                <c:pt idx="9">
                  <c:v>10.36</c:v>
                </c:pt>
                <c:pt idx="10">
                  <c:v>7.8</c:v>
                </c:pt>
                <c:pt idx="11">
                  <c:v>6.96</c:v>
                </c:pt>
                <c:pt idx="12">
                  <c:v>8.1999999999999993</c:v>
                </c:pt>
                <c:pt idx="13">
                  <c:v>5.92</c:v>
                </c:pt>
                <c:pt idx="14">
                  <c:v>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C0-844D-A782-F79037AE8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571583"/>
        <c:axId val="2070573231"/>
      </c:scatterChart>
      <c:valAx>
        <c:axId val="2070571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573231"/>
        <c:crosses val="autoZero"/>
        <c:crossBetween val="midCat"/>
      </c:valAx>
      <c:valAx>
        <c:axId val="2070573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05715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Results!$E$4</c:f>
              <c:strCache>
                <c:ptCount val="1"/>
                <c:pt idx="0">
                  <c:v>VCD (1E6 cells/mL)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Results!$C$5:$C$19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Results!$E$5:$E$19</c:f>
              <c:numCache>
                <c:formatCode>0.00</c:formatCode>
                <c:ptCount val="15"/>
                <c:pt idx="0">
                  <c:v>0.2</c:v>
                </c:pt>
                <c:pt idx="1">
                  <c:v>0.53600000000000003</c:v>
                </c:pt>
                <c:pt idx="2">
                  <c:v>0.96</c:v>
                </c:pt>
                <c:pt idx="3">
                  <c:v>1.1000000000000001</c:v>
                </c:pt>
                <c:pt idx="4">
                  <c:v>3.22</c:v>
                </c:pt>
                <c:pt idx="5">
                  <c:v>6.4960000000000004</c:v>
                </c:pt>
                <c:pt idx="6">
                  <c:v>8.8000000000000007</c:v>
                </c:pt>
                <c:pt idx="7">
                  <c:v>10.3</c:v>
                </c:pt>
                <c:pt idx="8">
                  <c:v>10.95</c:v>
                </c:pt>
                <c:pt idx="9">
                  <c:v>10.199999999999999</c:v>
                </c:pt>
                <c:pt idx="10">
                  <c:v>10.45</c:v>
                </c:pt>
                <c:pt idx="11">
                  <c:v>11</c:v>
                </c:pt>
                <c:pt idx="12">
                  <c:v>9.1</c:v>
                </c:pt>
                <c:pt idx="13">
                  <c:v>7.25</c:v>
                </c:pt>
                <c:pt idx="14" formatCode="General">
                  <c:v>5.16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7E-8D42-AB0F-6736344B7624}"/>
            </c:ext>
          </c:extLst>
        </c:ser>
        <c:ser>
          <c:idx val="1"/>
          <c:order val="1"/>
          <c:tx>
            <c:strRef>
              <c:f>Results!$P$4</c:f>
              <c:strCache>
                <c:ptCount val="1"/>
                <c:pt idx="0">
                  <c:v>VCD (1E6 cells/mL)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Results!$C$5:$C$19</c:f>
              <c:numCache>
                <c:formatCode>General</c:formatCode>
                <c:ptCount val="1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</c:numCache>
            </c:numRef>
          </c:xVal>
          <c:yVal>
            <c:numRef>
              <c:f>Results!$P$5:$P$19</c:f>
              <c:numCache>
                <c:formatCode>0.00</c:formatCode>
                <c:ptCount val="15"/>
                <c:pt idx="0">
                  <c:v>0.2</c:v>
                </c:pt>
                <c:pt idx="1">
                  <c:v>0.504</c:v>
                </c:pt>
                <c:pt idx="2">
                  <c:v>1.28</c:v>
                </c:pt>
                <c:pt idx="3">
                  <c:v>1.2</c:v>
                </c:pt>
                <c:pt idx="4">
                  <c:v>3.2</c:v>
                </c:pt>
                <c:pt idx="5">
                  <c:v>6.72</c:v>
                </c:pt>
                <c:pt idx="6">
                  <c:v>7.2</c:v>
                </c:pt>
                <c:pt idx="7">
                  <c:v>10.75</c:v>
                </c:pt>
                <c:pt idx="8">
                  <c:v>10.5</c:v>
                </c:pt>
                <c:pt idx="9">
                  <c:v>10.75</c:v>
                </c:pt>
                <c:pt idx="10">
                  <c:v>10</c:v>
                </c:pt>
                <c:pt idx="11">
                  <c:v>9.5500000000000007</c:v>
                </c:pt>
                <c:pt idx="12">
                  <c:v>7.8</c:v>
                </c:pt>
                <c:pt idx="13">
                  <c:v>8.8000000000000007</c:v>
                </c:pt>
                <c:pt idx="14">
                  <c:v>6.04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C7E-8D42-AB0F-6736344B7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757231"/>
        <c:axId val="2105586959"/>
      </c:scatterChart>
      <c:valAx>
        <c:axId val="210575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86959"/>
        <c:crosses val="autoZero"/>
        <c:crossBetween val="midCat"/>
      </c:valAx>
      <c:valAx>
        <c:axId val="210558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757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Results!$E$4</c:f>
              <c:strCache>
                <c:ptCount val="1"/>
                <c:pt idx="0">
                  <c:v>VCD (1E6 cells/mL)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17719954411443836"/>
                  <c:y val="0.108827373322520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Results!$D$5:$D$19</c:f>
              <c:numCache>
                <c:formatCode>General</c:formatCode>
                <c:ptCount val="15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264</c:v>
                </c:pt>
                <c:pt idx="12">
                  <c:v>288</c:v>
                </c:pt>
                <c:pt idx="13">
                  <c:v>312</c:v>
                </c:pt>
                <c:pt idx="14">
                  <c:v>336</c:v>
                </c:pt>
              </c:numCache>
            </c:numRef>
          </c:xVal>
          <c:yVal>
            <c:numRef>
              <c:f>Results!$E$8:$E$12</c:f>
              <c:numCache>
                <c:formatCode>0.00</c:formatCode>
                <c:ptCount val="5"/>
                <c:pt idx="0">
                  <c:v>1.1000000000000001</c:v>
                </c:pt>
                <c:pt idx="1">
                  <c:v>3.22</c:v>
                </c:pt>
                <c:pt idx="2">
                  <c:v>6.4960000000000004</c:v>
                </c:pt>
                <c:pt idx="3">
                  <c:v>8.8000000000000007</c:v>
                </c:pt>
                <c:pt idx="4">
                  <c:v>10.3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42-4E8D-9A2F-12B41ACF781E}"/>
            </c:ext>
          </c:extLst>
        </c:ser>
        <c:ser>
          <c:idx val="1"/>
          <c:order val="1"/>
          <c:tx>
            <c:strRef>
              <c:f>Results!$P$4</c:f>
              <c:strCache>
                <c:ptCount val="1"/>
                <c:pt idx="0">
                  <c:v>VCD (1E6 cells/mL)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14009426298576577"/>
                  <c:y val="0.447776493054647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Results!$D$5:$D$19</c:f>
              <c:numCache>
                <c:formatCode>General</c:formatCode>
                <c:ptCount val="15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264</c:v>
                </c:pt>
                <c:pt idx="12">
                  <c:v>288</c:v>
                </c:pt>
                <c:pt idx="13">
                  <c:v>312</c:v>
                </c:pt>
                <c:pt idx="14">
                  <c:v>336</c:v>
                </c:pt>
              </c:numCache>
            </c:numRef>
          </c:xVal>
          <c:yVal>
            <c:numRef>
              <c:f>Results!$P$8:$P$12</c:f>
              <c:numCache>
                <c:formatCode>0.00</c:formatCode>
                <c:ptCount val="5"/>
                <c:pt idx="0">
                  <c:v>1.2</c:v>
                </c:pt>
                <c:pt idx="1">
                  <c:v>3.2</c:v>
                </c:pt>
                <c:pt idx="2">
                  <c:v>6.72</c:v>
                </c:pt>
                <c:pt idx="3">
                  <c:v>7.2</c:v>
                </c:pt>
                <c:pt idx="4">
                  <c:v>10.75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42-4E8D-9A2F-12B41ACF7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757231"/>
        <c:axId val="2105586959"/>
      </c:scatterChart>
      <c:valAx>
        <c:axId val="210575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86959"/>
        <c:crosses val="autoZero"/>
        <c:crossBetween val="midCat"/>
      </c:valAx>
      <c:valAx>
        <c:axId val="210558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757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Results!$E$4</c:f>
              <c:strCache>
                <c:ptCount val="1"/>
                <c:pt idx="0">
                  <c:v>VCD (1E6 cells/mL)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Results!$D$30:$D$34</c:f>
              <c:numCache>
                <c:formatCode>General</c:formatCode>
                <c:ptCount val="5"/>
                <c:pt idx="0">
                  <c:v>72</c:v>
                </c:pt>
                <c:pt idx="1">
                  <c:v>96</c:v>
                </c:pt>
                <c:pt idx="2">
                  <c:v>120</c:v>
                </c:pt>
                <c:pt idx="3">
                  <c:v>144</c:v>
                </c:pt>
                <c:pt idx="4">
                  <c:v>168</c:v>
                </c:pt>
              </c:numCache>
            </c:numRef>
          </c:xVal>
          <c:yVal>
            <c:numRef>
              <c:f>Results!$E$30:$E$34</c:f>
              <c:numCache>
                <c:formatCode>0.00</c:formatCode>
                <c:ptCount val="5"/>
                <c:pt idx="0">
                  <c:v>1.7</c:v>
                </c:pt>
                <c:pt idx="1">
                  <c:v>6</c:v>
                </c:pt>
                <c:pt idx="2">
                  <c:v>5.94</c:v>
                </c:pt>
                <c:pt idx="3">
                  <c:v>6.8</c:v>
                </c:pt>
                <c:pt idx="4">
                  <c:v>10.050000000000001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99-4A0F-BE80-33433063E7AA}"/>
            </c:ext>
          </c:extLst>
        </c:ser>
        <c:ser>
          <c:idx val="1"/>
          <c:order val="1"/>
          <c:tx>
            <c:strRef>
              <c:f>Results!$P$4</c:f>
              <c:strCache>
                <c:ptCount val="1"/>
                <c:pt idx="0">
                  <c:v>VCD (1E6 cells/mL)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21232886875920615"/>
                  <c:y val="0.519609490674130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Results!$O$30:$O$35</c:f>
              <c:numCache>
                <c:formatCode>General</c:formatCode>
                <c:ptCount val="6"/>
                <c:pt idx="0">
                  <c:v>72</c:v>
                </c:pt>
                <c:pt idx="1">
                  <c:v>96</c:v>
                </c:pt>
                <c:pt idx="2">
                  <c:v>120</c:v>
                </c:pt>
                <c:pt idx="3">
                  <c:v>144</c:v>
                </c:pt>
                <c:pt idx="4">
                  <c:v>168</c:v>
                </c:pt>
                <c:pt idx="5">
                  <c:v>192</c:v>
                </c:pt>
              </c:numCache>
            </c:numRef>
          </c:xVal>
          <c:yVal>
            <c:numRef>
              <c:f>Results!$P$30:$P$35</c:f>
              <c:numCache>
                <c:formatCode>0.00</c:formatCode>
                <c:ptCount val="6"/>
                <c:pt idx="0">
                  <c:v>1.26</c:v>
                </c:pt>
                <c:pt idx="1">
                  <c:v>3.7440000000000002</c:v>
                </c:pt>
                <c:pt idx="2">
                  <c:v>3.96</c:v>
                </c:pt>
                <c:pt idx="3">
                  <c:v>5.48</c:v>
                </c:pt>
                <c:pt idx="4">
                  <c:v>7.5</c:v>
                </c:pt>
                <c:pt idx="5">
                  <c:v>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99-4A0F-BE80-33433063E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757231"/>
        <c:axId val="2105586959"/>
      </c:scatterChart>
      <c:valAx>
        <c:axId val="210575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86959"/>
        <c:crosses val="autoZero"/>
        <c:crossBetween val="midCat"/>
      </c:valAx>
      <c:valAx>
        <c:axId val="210558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757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Results!$E$4</c:f>
              <c:strCache>
                <c:ptCount val="1"/>
                <c:pt idx="0">
                  <c:v>VCD (1E6 cells/mL)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Results!$D$49:$D$63</c:f>
              <c:numCache>
                <c:formatCode>General</c:formatCode>
                <c:ptCount val="15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264</c:v>
                </c:pt>
                <c:pt idx="12">
                  <c:v>288</c:v>
                </c:pt>
                <c:pt idx="13">
                  <c:v>312</c:v>
                </c:pt>
                <c:pt idx="14">
                  <c:v>336</c:v>
                </c:pt>
              </c:numCache>
            </c:numRef>
          </c:xVal>
          <c:yVal>
            <c:numRef>
              <c:f>Results!$E$52:$E$57</c:f>
              <c:numCache>
                <c:formatCode>0.00</c:formatCode>
                <c:ptCount val="6"/>
                <c:pt idx="0">
                  <c:v>0.9</c:v>
                </c:pt>
                <c:pt idx="1">
                  <c:v>3.1920000000000002</c:v>
                </c:pt>
                <c:pt idx="2">
                  <c:v>4.2960000000000003</c:v>
                </c:pt>
                <c:pt idx="3">
                  <c:v>6.56</c:v>
                </c:pt>
                <c:pt idx="4">
                  <c:v>7</c:v>
                </c:pt>
                <c:pt idx="5">
                  <c:v>10.36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82-42AB-90C6-EBDD79DDB470}"/>
            </c:ext>
          </c:extLst>
        </c:ser>
        <c:ser>
          <c:idx val="1"/>
          <c:order val="1"/>
          <c:tx>
            <c:strRef>
              <c:f>Results!$P$4</c:f>
              <c:strCache>
                <c:ptCount val="1"/>
                <c:pt idx="0">
                  <c:v>VCD (1E6 cells/mL)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0.10008892203200953"/>
                  <c:y val="0.3338543181234975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24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Results!$O$49:$O$63</c:f>
              <c:numCache>
                <c:formatCode>General</c:formatCode>
                <c:ptCount val="15"/>
                <c:pt idx="0">
                  <c:v>0</c:v>
                </c:pt>
                <c:pt idx="1">
                  <c:v>24</c:v>
                </c:pt>
                <c:pt idx="2">
                  <c:v>48</c:v>
                </c:pt>
                <c:pt idx="3">
                  <c:v>72</c:v>
                </c:pt>
                <c:pt idx="4">
                  <c:v>96</c:v>
                </c:pt>
                <c:pt idx="5">
                  <c:v>120</c:v>
                </c:pt>
                <c:pt idx="6">
                  <c:v>144</c:v>
                </c:pt>
                <c:pt idx="7">
                  <c:v>168</c:v>
                </c:pt>
                <c:pt idx="8">
                  <c:v>192</c:v>
                </c:pt>
                <c:pt idx="9">
                  <c:v>216</c:v>
                </c:pt>
                <c:pt idx="10">
                  <c:v>240</c:v>
                </c:pt>
                <c:pt idx="11">
                  <c:v>264</c:v>
                </c:pt>
                <c:pt idx="12">
                  <c:v>288</c:v>
                </c:pt>
                <c:pt idx="13">
                  <c:v>312</c:v>
                </c:pt>
                <c:pt idx="14" formatCode="0.00">
                  <c:v>336</c:v>
                </c:pt>
              </c:numCache>
            </c:numRef>
          </c:xVal>
          <c:yVal>
            <c:numRef>
              <c:f>Results!$P$52:$P$56</c:f>
              <c:numCache>
                <c:formatCode>0.00</c:formatCode>
                <c:ptCount val="5"/>
                <c:pt idx="0">
                  <c:v>0.97</c:v>
                </c:pt>
                <c:pt idx="1">
                  <c:v>2.52</c:v>
                </c:pt>
                <c:pt idx="2">
                  <c:v>3.948</c:v>
                </c:pt>
                <c:pt idx="3">
                  <c:v>4.8639999999999999</c:v>
                </c:pt>
                <c:pt idx="4">
                  <c:v>8.52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E82-42AB-90C6-EBDD79DDB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5757231"/>
        <c:axId val="2105586959"/>
      </c:scatterChart>
      <c:valAx>
        <c:axId val="210575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586959"/>
        <c:crosses val="autoZero"/>
        <c:crossBetween val="midCat"/>
      </c:valAx>
      <c:valAx>
        <c:axId val="2105586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5757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69850</xdr:colOff>
      <xdr:row>22</xdr:row>
      <xdr:rowOff>203200</xdr:rowOff>
    </xdr:from>
    <xdr:to>
      <xdr:col>31</xdr:col>
      <xdr:colOff>330200</xdr:colOff>
      <xdr:row>37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323081</xdr:colOff>
      <xdr:row>44</xdr:row>
      <xdr:rowOff>203201</xdr:rowOff>
    </xdr:from>
    <xdr:to>
      <xdr:col>32</xdr:col>
      <xdr:colOff>291331</xdr:colOff>
      <xdr:row>59</xdr:row>
      <xdr:rowOff>165101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76200</xdr:colOff>
      <xdr:row>1</xdr:row>
      <xdr:rowOff>0</xdr:rowOff>
    </xdr:from>
    <xdr:to>
      <xdr:col>32</xdr:col>
      <xdr:colOff>660400</xdr:colOff>
      <xdr:row>13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33</xdr:col>
      <xdr:colOff>34925</xdr:colOff>
      <xdr:row>1</xdr:row>
      <xdr:rowOff>9525</xdr:rowOff>
    </xdr:from>
    <xdr:to>
      <xdr:col>41</xdr:col>
      <xdr:colOff>50800</xdr:colOff>
      <xdr:row>13</xdr:row>
      <xdr:rowOff>101600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444501</xdr:colOff>
      <xdr:row>22</xdr:row>
      <xdr:rowOff>204355</xdr:rowOff>
    </xdr:from>
    <xdr:to>
      <xdr:col>40</xdr:col>
      <xdr:colOff>190501</xdr:colOff>
      <xdr:row>37</xdr:row>
      <xdr:rowOff>1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639618</xdr:colOff>
      <xdr:row>45</xdr:row>
      <xdr:rowOff>64657</xdr:rowOff>
    </xdr:from>
    <xdr:to>
      <xdr:col>43</xdr:col>
      <xdr:colOff>105833</xdr:colOff>
      <xdr:row>60</xdr:row>
      <xdr:rowOff>96213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zoomScale="68" workbookViewId="0">
      <selection activeCell="L34" sqref="L34"/>
    </sheetView>
  </sheetViews>
  <sheetFormatPr defaultColWidth="11" defaultRowHeight="15.75" x14ac:dyDescent="0.25"/>
  <cols>
    <col min="1" max="1" width="27.375" bestFit="1" customWidth="1"/>
    <col min="2" max="2" width="14.625" bestFit="1" customWidth="1"/>
    <col min="5" max="5" width="4.5" bestFit="1" customWidth="1"/>
    <col min="6" max="6" width="11.875" bestFit="1" customWidth="1"/>
    <col min="7" max="7" width="5.125" bestFit="1" customWidth="1"/>
    <col min="8" max="8" width="22.875" bestFit="1" customWidth="1"/>
    <col min="9" max="9" width="7.5" bestFit="1" customWidth="1"/>
    <col min="10" max="10" width="18.875" bestFit="1" customWidth="1"/>
    <col min="12" max="12" width="14.125" bestFit="1" customWidth="1"/>
  </cols>
  <sheetData>
    <row r="1" spans="1:13" x14ac:dyDescent="0.25">
      <c r="H1" s="3" t="s">
        <v>12</v>
      </c>
      <c r="L1" t="s">
        <v>19</v>
      </c>
      <c r="M1" s="6">
        <v>6</v>
      </c>
    </row>
    <row r="2" spans="1:13" x14ac:dyDescent="0.25">
      <c r="B2" t="s">
        <v>0</v>
      </c>
      <c r="C2" s="7">
        <v>30</v>
      </c>
      <c r="D2" t="s">
        <v>2</v>
      </c>
      <c r="H2" s="2" t="s">
        <v>13</v>
      </c>
      <c r="L2" t="s">
        <v>20</v>
      </c>
      <c r="M2" s="6">
        <f>M1*I4</f>
        <v>180</v>
      </c>
    </row>
    <row r="3" spans="1:13" x14ac:dyDescent="0.25">
      <c r="B3" t="s">
        <v>1</v>
      </c>
      <c r="C3" s="9">
        <f>B6</f>
        <v>1.5</v>
      </c>
      <c r="D3" t="s">
        <v>2</v>
      </c>
      <c r="E3" t="s">
        <v>18</v>
      </c>
      <c r="F3" t="s">
        <v>17</v>
      </c>
      <c r="G3" t="s">
        <v>11</v>
      </c>
      <c r="H3" t="s">
        <v>9</v>
      </c>
      <c r="I3" t="s">
        <v>10</v>
      </c>
      <c r="J3" t="s">
        <v>15</v>
      </c>
      <c r="L3" t="s">
        <v>21</v>
      </c>
      <c r="M3" s="6">
        <f>M1*C4*SUM(G4:G18)</f>
        <v>126</v>
      </c>
    </row>
    <row r="4" spans="1:13" x14ac:dyDescent="0.25">
      <c r="B4" t="s">
        <v>14</v>
      </c>
      <c r="C4" s="9">
        <f>0.1*C2</f>
        <v>3</v>
      </c>
      <c r="D4" t="s">
        <v>2</v>
      </c>
      <c r="E4" s="5">
        <v>0.08</v>
      </c>
      <c r="F4">
        <v>36.5</v>
      </c>
      <c r="G4">
        <v>0</v>
      </c>
      <c r="H4">
        <v>0</v>
      </c>
      <c r="I4">
        <f>C2</f>
        <v>30</v>
      </c>
      <c r="J4" s="4">
        <f>(I4-$C$2)/$C$2</f>
        <v>0</v>
      </c>
    </row>
    <row r="5" spans="1:13" x14ac:dyDescent="0.25">
      <c r="E5" s="5">
        <v>0.08</v>
      </c>
      <c r="F5">
        <v>36.5</v>
      </c>
      <c r="G5">
        <v>0</v>
      </c>
      <c r="H5">
        <v>1</v>
      </c>
      <c r="I5">
        <f>I4-$C$3+IF(G5=1,$C$4,0)</f>
        <v>28.5</v>
      </c>
      <c r="J5" s="4">
        <f t="shared" ref="J5:J18" si="0">(I5-$C$2)/$C$2</f>
        <v>-0.05</v>
      </c>
    </row>
    <row r="6" spans="1:13" x14ac:dyDescent="0.25">
      <c r="A6" s="1" t="s">
        <v>3</v>
      </c>
      <c r="B6" s="9">
        <f>C4/2</f>
        <v>1.5</v>
      </c>
      <c r="C6" t="s">
        <v>4</v>
      </c>
      <c r="E6" s="5">
        <v>0.08</v>
      </c>
      <c r="F6">
        <v>36.5</v>
      </c>
      <c r="G6">
        <v>1</v>
      </c>
      <c r="H6">
        <v>2</v>
      </c>
      <c r="I6">
        <f t="shared" ref="I6:I18" si="1">I5-$C$3+IF(G6=1,$C$4,0)</f>
        <v>30</v>
      </c>
      <c r="J6" s="4">
        <f t="shared" si="0"/>
        <v>0</v>
      </c>
    </row>
    <row r="7" spans="1:13" x14ac:dyDescent="0.25">
      <c r="A7" t="s">
        <v>8</v>
      </c>
      <c r="B7">
        <v>100</v>
      </c>
      <c r="C7" t="s">
        <v>5</v>
      </c>
      <c r="E7" s="5">
        <v>0.08</v>
      </c>
      <c r="F7">
        <v>36.5</v>
      </c>
      <c r="G7">
        <v>0</v>
      </c>
      <c r="H7" s="3">
        <v>3</v>
      </c>
      <c r="I7">
        <f t="shared" si="1"/>
        <v>28.5</v>
      </c>
      <c r="J7" s="4">
        <f t="shared" si="0"/>
        <v>-0.05</v>
      </c>
    </row>
    <row r="8" spans="1:13" x14ac:dyDescent="0.25">
      <c r="A8" t="s">
        <v>7</v>
      </c>
      <c r="B8">
        <v>4</v>
      </c>
      <c r="C8" t="s">
        <v>5</v>
      </c>
      <c r="E8" s="5">
        <v>0.08</v>
      </c>
      <c r="F8">
        <v>32.5</v>
      </c>
      <c r="G8">
        <v>1</v>
      </c>
      <c r="H8" s="3">
        <v>4</v>
      </c>
      <c r="I8">
        <f t="shared" si="1"/>
        <v>30</v>
      </c>
      <c r="J8" s="4">
        <f t="shared" si="0"/>
        <v>0</v>
      </c>
    </row>
    <row r="9" spans="1:13" x14ac:dyDescent="0.25">
      <c r="A9" t="s">
        <v>6</v>
      </c>
      <c r="B9">
        <v>100</v>
      </c>
      <c r="C9" t="s">
        <v>5</v>
      </c>
      <c r="E9" s="5">
        <v>0.08</v>
      </c>
      <c r="F9">
        <v>32.5</v>
      </c>
      <c r="G9">
        <v>0</v>
      </c>
      <c r="H9" s="3">
        <v>5</v>
      </c>
      <c r="I9">
        <f t="shared" si="1"/>
        <v>28.5</v>
      </c>
      <c r="J9" s="4">
        <f t="shared" si="0"/>
        <v>-0.05</v>
      </c>
    </row>
    <row r="10" spans="1:13" x14ac:dyDescent="0.25">
      <c r="A10" t="s">
        <v>16</v>
      </c>
      <c r="B10">
        <f>B6*1000-B7-B8-B9</f>
        <v>1296</v>
      </c>
      <c r="C10" t="s">
        <v>5</v>
      </c>
      <c r="E10" s="5">
        <v>0.08</v>
      </c>
      <c r="F10">
        <v>32.5</v>
      </c>
      <c r="G10">
        <v>1</v>
      </c>
      <c r="H10" s="3">
        <v>6</v>
      </c>
      <c r="I10">
        <f t="shared" si="1"/>
        <v>30</v>
      </c>
      <c r="J10" s="4">
        <f t="shared" si="0"/>
        <v>0</v>
      </c>
    </row>
    <row r="11" spans="1:13" x14ac:dyDescent="0.25">
      <c r="E11" s="5">
        <v>0.08</v>
      </c>
      <c r="F11">
        <v>32.5</v>
      </c>
      <c r="G11">
        <v>0</v>
      </c>
      <c r="H11" s="3">
        <v>7</v>
      </c>
      <c r="I11">
        <f t="shared" si="1"/>
        <v>28.5</v>
      </c>
      <c r="J11" s="4">
        <f t="shared" si="0"/>
        <v>-0.05</v>
      </c>
    </row>
    <row r="12" spans="1:13" x14ac:dyDescent="0.25">
      <c r="E12" s="5">
        <v>0.08</v>
      </c>
      <c r="F12">
        <v>32.5</v>
      </c>
      <c r="G12">
        <v>1</v>
      </c>
      <c r="H12" s="3">
        <v>8</v>
      </c>
      <c r="I12">
        <f t="shared" si="1"/>
        <v>30</v>
      </c>
      <c r="J12" s="4">
        <f t="shared" si="0"/>
        <v>0</v>
      </c>
    </row>
    <row r="13" spans="1:13" x14ac:dyDescent="0.25">
      <c r="E13" s="5">
        <v>0.08</v>
      </c>
      <c r="F13">
        <v>32.5</v>
      </c>
      <c r="G13">
        <v>0</v>
      </c>
      <c r="H13" s="2">
        <v>9</v>
      </c>
      <c r="I13">
        <f t="shared" si="1"/>
        <v>28.5</v>
      </c>
      <c r="J13" s="4">
        <f t="shared" si="0"/>
        <v>-0.05</v>
      </c>
    </row>
    <row r="14" spans="1:13" x14ac:dyDescent="0.25">
      <c r="E14" s="5">
        <v>0.08</v>
      </c>
      <c r="F14">
        <v>32.5</v>
      </c>
      <c r="G14">
        <v>1</v>
      </c>
      <c r="H14" s="2">
        <v>10</v>
      </c>
      <c r="I14">
        <f>I13-$C$3+IF(G14=1,$C$4,0)</f>
        <v>30</v>
      </c>
      <c r="J14" s="4">
        <f t="shared" si="0"/>
        <v>0</v>
      </c>
    </row>
    <row r="15" spans="1:13" x14ac:dyDescent="0.25">
      <c r="E15" s="5">
        <v>0.08</v>
      </c>
      <c r="F15">
        <v>32.5</v>
      </c>
      <c r="G15">
        <v>0</v>
      </c>
      <c r="H15" s="2">
        <v>11</v>
      </c>
      <c r="I15">
        <f t="shared" si="1"/>
        <v>28.5</v>
      </c>
      <c r="J15" s="4">
        <f t="shared" si="0"/>
        <v>-0.05</v>
      </c>
    </row>
    <row r="16" spans="1:13" x14ac:dyDescent="0.25">
      <c r="E16" s="5">
        <v>0.08</v>
      </c>
      <c r="F16">
        <v>32.5</v>
      </c>
      <c r="G16">
        <v>1</v>
      </c>
      <c r="H16" s="2">
        <v>12</v>
      </c>
      <c r="I16">
        <f t="shared" si="1"/>
        <v>30</v>
      </c>
      <c r="J16" s="4">
        <f t="shared" si="0"/>
        <v>0</v>
      </c>
    </row>
    <row r="17" spans="5:10" x14ac:dyDescent="0.25">
      <c r="E17" s="5">
        <v>0.08</v>
      </c>
      <c r="F17">
        <v>32.5</v>
      </c>
      <c r="G17">
        <v>0</v>
      </c>
      <c r="H17" s="2">
        <v>13</v>
      </c>
      <c r="I17">
        <f t="shared" si="1"/>
        <v>28.5</v>
      </c>
      <c r="J17" s="4">
        <f t="shared" si="0"/>
        <v>-0.05</v>
      </c>
    </row>
    <row r="18" spans="5:10" x14ac:dyDescent="0.25">
      <c r="E18" s="5">
        <v>0.08</v>
      </c>
      <c r="F18">
        <v>32.5</v>
      </c>
      <c r="G18">
        <v>1</v>
      </c>
      <c r="H18" s="2">
        <v>14</v>
      </c>
      <c r="I18">
        <f t="shared" si="1"/>
        <v>30</v>
      </c>
      <c r="J18" s="4">
        <f t="shared" si="0"/>
        <v>0</v>
      </c>
    </row>
    <row r="19" spans="5:10" x14ac:dyDescent="0.25">
      <c r="J19" s="8" cm="1">
        <f t="array" ref="J19">SUM(ABS(J4:J18))</f>
        <v>0.35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8"/>
  <sheetViews>
    <sheetView topLeftCell="A4" zoomScale="55" zoomScaleNormal="55" workbookViewId="0">
      <selection activeCell="L72" sqref="L72"/>
    </sheetView>
  </sheetViews>
  <sheetFormatPr defaultColWidth="8.875" defaultRowHeight="15.75" x14ac:dyDescent="0.25"/>
  <cols>
    <col min="3" max="4" width="9" bestFit="1" customWidth="1"/>
    <col min="5" max="5" width="12" customWidth="1"/>
    <col min="6" max="7" width="9" bestFit="1" customWidth="1"/>
    <col min="8" max="8" width="16.125" bestFit="1" customWidth="1"/>
    <col min="9" max="9" width="7.875" bestFit="1" customWidth="1"/>
    <col min="10" max="10" width="7.375" customWidth="1"/>
    <col min="11" max="12" width="9" bestFit="1" customWidth="1"/>
    <col min="14" max="20" width="9" bestFit="1" customWidth="1"/>
    <col min="22" max="23" width="9" bestFit="1" customWidth="1"/>
  </cols>
  <sheetData>
    <row r="1" spans="1:23" ht="16.5" thickBot="1" x14ac:dyDescent="0.3"/>
    <row r="2" spans="1:23" ht="16.5" thickBot="1" x14ac:dyDescent="0.3">
      <c r="C2" s="68" t="s">
        <v>38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70"/>
    </row>
    <row r="3" spans="1:23" ht="16.5" thickBot="1" x14ac:dyDescent="0.3">
      <c r="C3" s="13">
        <v>1</v>
      </c>
      <c r="N3" s="13">
        <v>2</v>
      </c>
      <c r="W3" s="14"/>
    </row>
    <row r="4" spans="1:23" ht="94.5" x14ac:dyDescent="0.25">
      <c r="A4" t="s">
        <v>17</v>
      </c>
      <c r="B4" t="s">
        <v>11</v>
      </c>
      <c r="C4" s="10" t="s">
        <v>9</v>
      </c>
      <c r="D4" s="11"/>
      <c r="E4" s="29" t="s">
        <v>29</v>
      </c>
      <c r="F4" s="11" t="s">
        <v>23</v>
      </c>
      <c r="G4" s="11" t="s">
        <v>22</v>
      </c>
      <c r="H4" s="30" t="s">
        <v>27</v>
      </c>
      <c r="I4" s="31" t="s">
        <v>28</v>
      </c>
      <c r="J4" s="31"/>
      <c r="K4" s="29" t="s">
        <v>25</v>
      </c>
      <c r="L4" s="32" t="s">
        <v>26</v>
      </c>
      <c r="N4" s="10" t="s">
        <v>9</v>
      </c>
      <c r="O4" s="11"/>
      <c r="P4" s="29" t="s">
        <v>29</v>
      </c>
      <c r="Q4" s="11" t="s">
        <v>23</v>
      </c>
      <c r="R4" s="11" t="s">
        <v>22</v>
      </c>
      <c r="S4" s="30" t="s">
        <v>27</v>
      </c>
      <c r="T4" s="31" t="s">
        <v>28</v>
      </c>
      <c r="U4" s="31"/>
      <c r="V4" s="29" t="s">
        <v>25</v>
      </c>
      <c r="W4" s="32" t="s">
        <v>26</v>
      </c>
    </row>
    <row r="5" spans="1:23" x14ac:dyDescent="0.25">
      <c r="A5">
        <v>36.5</v>
      </c>
      <c r="B5">
        <v>0</v>
      </c>
      <c r="C5" s="13">
        <v>0</v>
      </c>
      <c r="D5">
        <f>C5*24</f>
        <v>0</v>
      </c>
      <c r="E5" s="19">
        <f>2*10^5/10^6</f>
        <v>0.2</v>
      </c>
      <c r="F5" s="27">
        <v>0</v>
      </c>
      <c r="G5" s="17">
        <f>E5/SUM(E5:F5)</f>
        <v>1</v>
      </c>
      <c r="H5" s="18">
        <v>0</v>
      </c>
      <c r="I5">
        <v>0</v>
      </c>
      <c r="K5">
        <v>4.4299999999999999E-3</v>
      </c>
      <c r="L5" s="14"/>
      <c r="N5" s="13">
        <v>0</v>
      </c>
      <c r="O5">
        <f>N5*24</f>
        <v>0</v>
      </c>
      <c r="P5" s="19">
        <f>2*10^5/10^6</f>
        <v>0.2</v>
      </c>
      <c r="Q5" s="27">
        <v>0</v>
      </c>
      <c r="R5" s="17">
        <f>P5/SUM(P5:Q5)</f>
        <v>1</v>
      </c>
      <c r="S5" s="18">
        <v>0</v>
      </c>
      <c r="T5">
        <v>0</v>
      </c>
      <c r="V5">
        <v>4.4999999999999997E-3</v>
      </c>
      <c r="W5" s="14"/>
    </row>
    <row r="6" spans="1:23" x14ac:dyDescent="0.25">
      <c r="A6">
        <v>36.5</v>
      </c>
      <c r="B6">
        <v>0</v>
      </c>
      <c r="C6" s="13">
        <v>1</v>
      </c>
      <c r="D6">
        <f>C6*24</f>
        <v>24</v>
      </c>
      <c r="E6" s="19">
        <f>134*4/10*10^4/10^6</f>
        <v>0.53600000000000003</v>
      </c>
      <c r="F6" s="27">
        <f>7*4/10*10^4/10^6</f>
        <v>2.8000000000000001E-2</v>
      </c>
      <c r="G6" s="17">
        <f t="shared" ref="G6:G19" si="0">E6/SUM(E6:F6)</f>
        <v>0.95035460992907794</v>
      </c>
      <c r="H6" s="19">
        <f>((E6+E5))/2*(D6-D5)+H5</f>
        <v>8.8320000000000007</v>
      </c>
      <c r="I6">
        <f>(LN(E6)-LN(E5))/(D6-D5)</f>
        <v>4.1075699771781889E-2</v>
      </c>
      <c r="K6">
        <v>1.9460000000000002E-2</v>
      </c>
      <c r="L6" s="14">
        <f>((K6-K5)/(E6-E5))*I6*24000</f>
        <v>44.097697683562984</v>
      </c>
      <c r="N6" s="13">
        <v>1</v>
      </c>
      <c r="O6">
        <f>N6*24</f>
        <v>24</v>
      </c>
      <c r="P6" s="19">
        <f>126*4/10*10^4/10^6</f>
        <v>0.504</v>
      </c>
      <c r="Q6" s="27">
        <f>6*4/10*10^4/10^6</f>
        <v>2.4E-2</v>
      </c>
      <c r="R6" s="17">
        <f t="shared" ref="R6:R19" si="1">P6/SUM(P6:Q6)</f>
        <v>0.95454545454545447</v>
      </c>
      <c r="S6" s="19">
        <f>((P6+P5))/2*(O6-O5)+S5</f>
        <v>8.4480000000000004</v>
      </c>
      <c r="T6">
        <f>(LN(P6)-LN(P5))/(O6-O5)</f>
        <v>3.8510787563472162E-2</v>
      </c>
      <c r="V6">
        <v>1.865E-2</v>
      </c>
      <c r="W6" s="14">
        <f>((V6-V5)/(P6-P5))*T6*24000</f>
        <v>43.020603475510349</v>
      </c>
    </row>
    <row r="7" spans="1:23" x14ac:dyDescent="0.25">
      <c r="A7">
        <v>36.5</v>
      </c>
      <c r="B7">
        <v>1</v>
      </c>
      <c r="C7" s="13">
        <v>2</v>
      </c>
      <c r="D7">
        <f t="shared" ref="D7:D19" si="2">C7*24</f>
        <v>48</v>
      </c>
      <c r="E7" s="19">
        <f>120*8/10*10^4/10^6</f>
        <v>0.96</v>
      </c>
      <c r="F7" s="27">
        <f>4*8/10*10^4/10^6</f>
        <v>3.2000000000000001E-2</v>
      </c>
      <c r="G7" s="17">
        <f t="shared" si="0"/>
        <v>0.96774193548387089</v>
      </c>
      <c r="H7" s="19">
        <f t="shared" ref="H7:H19" si="3">((E7+E6))/2*(D7-D6)+H6</f>
        <v>26.783999999999999</v>
      </c>
      <c r="I7">
        <f t="shared" ref="I7:I19" si="4">(LN(E7)-LN(E6))/(D7-D6)</f>
        <v>2.4283296807961662E-2</v>
      </c>
      <c r="K7">
        <v>3.8719999999999997E-2</v>
      </c>
      <c r="L7" s="14">
        <f t="shared" ref="L7:L19" si="5">((K7-K6)/(E7-E6))*I7*24000</f>
        <v>26.473375274792922</v>
      </c>
      <c r="N7" s="13">
        <v>2</v>
      </c>
      <c r="O7">
        <f t="shared" ref="O7:O19" si="6">N7*24</f>
        <v>48</v>
      </c>
      <c r="P7" s="19">
        <f>160*8/10*10^4/10^6</f>
        <v>1.28</v>
      </c>
      <c r="Q7" s="27">
        <f>12*8/10*10^4/10^6</f>
        <v>9.6000000000000002E-2</v>
      </c>
      <c r="R7" s="17">
        <f t="shared" si="1"/>
        <v>0.93023255813953487</v>
      </c>
      <c r="S7" s="19">
        <f t="shared" ref="S7:S19" si="7">((P7+P6))/2*(O7-O6)+S6</f>
        <v>29.856000000000002</v>
      </c>
      <c r="T7">
        <f t="shared" ref="T7:T19" si="8">(LN(P7)-LN(P6))/(O7-O6)</f>
        <v>3.8834962035095594E-2</v>
      </c>
      <c r="V7">
        <v>4.5850000000000002E-2</v>
      </c>
      <c r="W7" s="14">
        <f t="shared" ref="W7:W18" si="9">((V7-V6)/(P7-P6))*T7*24000</f>
        <v>32.669411361482481</v>
      </c>
    </row>
    <row r="8" spans="1:23" x14ac:dyDescent="0.25">
      <c r="A8">
        <v>36.5</v>
      </c>
      <c r="B8">
        <v>0</v>
      </c>
      <c r="C8" s="36">
        <v>3</v>
      </c>
      <c r="D8" s="37">
        <f t="shared" si="2"/>
        <v>72</v>
      </c>
      <c r="E8" s="38">
        <f>110*10/10*10^4/10^6</f>
        <v>1.1000000000000001</v>
      </c>
      <c r="F8" s="38">
        <f>33*10/10*10^4/10^6</f>
        <v>0.33</v>
      </c>
      <c r="G8" s="39">
        <f t="shared" si="0"/>
        <v>0.76923076923076916</v>
      </c>
      <c r="H8" s="38">
        <f t="shared" si="3"/>
        <v>51.503999999999998</v>
      </c>
      <c r="I8" s="37">
        <f t="shared" si="4"/>
        <v>5.6721739301908375E-3</v>
      </c>
      <c r="J8" s="37"/>
      <c r="K8" s="37">
        <v>6.1550000000000001E-2</v>
      </c>
      <c r="L8" s="40">
        <f>((K8-K7)/(E8-E7))*I8*24000</f>
        <v>22.199268141644009</v>
      </c>
      <c r="N8" s="36">
        <v>3</v>
      </c>
      <c r="O8" s="37">
        <f t="shared" si="6"/>
        <v>72</v>
      </c>
      <c r="P8" s="38">
        <f>120*10/10*10^4/10^6</f>
        <v>1.2</v>
      </c>
      <c r="Q8" s="38">
        <f>8*10/10*10^4/10^6</f>
        <v>0.08</v>
      </c>
      <c r="R8" s="39">
        <f t="shared" si="1"/>
        <v>0.9375</v>
      </c>
      <c r="S8" s="38">
        <f t="shared" si="7"/>
        <v>59.616</v>
      </c>
      <c r="T8" s="37">
        <f t="shared" si="8"/>
        <v>-2.6891050473988008E-3</v>
      </c>
      <c r="U8" s="37"/>
      <c r="V8" s="37">
        <v>8.3659999999999998E-2</v>
      </c>
      <c r="W8" s="40">
        <f t="shared" si="9"/>
        <v>30.502518552644563</v>
      </c>
    </row>
    <row r="9" spans="1:23" x14ac:dyDescent="0.25">
      <c r="A9">
        <v>32.5</v>
      </c>
      <c r="B9">
        <v>1</v>
      </c>
      <c r="C9" s="36">
        <v>4</v>
      </c>
      <c r="D9" s="37">
        <f t="shared" si="2"/>
        <v>96</v>
      </c>
      <c r="E9" s="38">
        <f>161*20/10*10^4/10^6</f>
        <v>3.22</v>
      </c>
      <c r="F9" s="38">
        <f>5*20/10*10^4/10^6</f>
        <v>0.1</v>
      </c>
      <c r="G9" s="39">
        <f t="shared" si="0"/>
        <v>0.96987951807228912</v>
      </c>
      <c r="H9" s="38">
        <f t="shared" si="3"/>
        <v>103.34399999999999</v>
      </c>
      <c r="I9" s="37">
        <f t="shared" si="4"/>
        <v>4.4752965822999667E-2</v>
      </c>
      <c r="J9" s="37"/>
      <c r="K9" s="37">
        <v>0.2215</v>
      </c>
      <c r="L9" s="40">
        <f>((K9-K8)/(E9-E8))*I9*24000</f>
        <v>81.036643962892029</v>
      </c>
      <c r="N9" s="36">
        <v>4</v>
      </c>
      <c r="O9" s="37">
        <f t="shared" si="6"/>
        <v>96</v>
      </c>
      <c r="P9" s="38">
        <f>160*20/10*10^4/10^6</f>
        <v>3.2</v>
      </c>
      <c r="Q9" s="38">
        <f>0*20/10*10^4/10^6</f>
        <v>0</v>
      </c>
      <c r="R9" s="39">
        <f>0*20/10*10^4/10^6</f>
        <v>0</v>
      </c>
      <c r="S9" s="38">
        <f t="shared" si="7"/>
        <v>112.416</v>
      </c>
      <c r="T9" s="37">
        <f t="shared" si="8"/>
        <v>4.0867885542155265E-2</v>
      </c>
      <c r="U9" s="37"/>
      <c r="V9" s="37">
        <v>0.217</v>
      </c>
      <c r="W9" s="40">
        <f t="shared" si="9"/>
        <v>65.391886298291794</v>
      </c>
    </row>
    <row r="10" spans="1:23" x14ac:dyDescent="0.25">
      <c r="A10">
        <v>32.5</v>
      </c>
      <c r="B10">
        <v>0</v>
      </c>
      <c r="C10" s="36">
        <v>5</v>
      </c>
      <c r="D10" s="37">
        <f t="shared" si="2"/>
        <v>120</v>
      </c>
      <c r="E10" s="38">
        <f>203*32/10*10^4/10^6</f>
        <v>6.4960000000000004</v>
      </c>
      <c r="F10" s="38">
        <f>0*20/10*10^4/10^6</f>
        <v>0</v>
      </c>
      <c r="G10" s="39">
        <f t="shared" si="0"/>
        <v>1</v>
      </c>
      <c r="H10" s="38">
        <f t="shared" si="3"/>
        <v>219.93600000000001</v>
      </c>
      <c r="I10" s="37">
        <f t="shared" si="4"/>
        <v>2.9241885137627498E-2</v>
      </c>
      <c r="J10" s="37"/>
      <c r="K10" s="37">
        <v>0.3821</v>
      </c>
      <c r="L10" s="40">
        <f t="shared" si="5"/>
        <v>34.404738117970517</v>
      </c>
      <c r="N10" s="36">
        <v>5</v>
      </c>
      <c r="O10" s="37">
        <f t="shared" si="6"/>
        <v>120</v>
      </c>
      <c r="P10" s="38">
        <f>210*32/10*10^4/10^6</f>
        <v>6.72</v>
      </c>
      <c r="Q10" s="38">
        <f>3*32/10*10^4/10^6</f>
        <v>9.6000000000000002E-2</v>
      </c>
      <c r="R10" s="39">
        <f t="shared" si="1"/>
        <v>0.9859154929577465</v>
      </c>
      <c r="S10" s="38">
        <f t="shared" si="7"/>
        <v>231.45599999999999</v>
      </c>
      <c r="T10" s="37">
        <f t="shared" si="8"/>
        <v>3.0914056030390723E-2</v>
      </c>
      <c r="U10" s="37"/>
      <c r="V10" s="37">
        <v>0.35</v>
      </c>
      <c r="W10" s="40">
        <f t="shared" si="9"/>
        <v>28.033428082104312</v>
      </c>
    </row>
    <row r="11" spans="1:23" x14ac:dyDescent="0.25">
      <c r="A11">
        <v>32.5</v>
      </c>
      <c r="B11">
        <v>1</v>
      </c>
      <c r="C11" s="36">
        <v>6</v>
      </c>
      <c r="D11" s="37">
        <f t="shared" si="2"/>
        <v>144</v>
      </c>
      <c r="E11" s="38">
        <f>220*40/10*10^4/10^6</f>
        <v>8.8000000000000007</v>
      </c>
      <c r="F11" s="38">
        <f>0*20/10*10^4/10^6</f>
        <v>0</v>
      </c>
      <c r="G11" s="39">
        <f>E11/SUM(E11:F11)</f>
        <v>1</v>
      </c>
      <c r="H11" s="38">
        <f t="shared" si="3"/>
        <v>403.48800000000006</v>
      </c>
      <c r="I11" s="37">
        <f t="shared" si="4"/>
        <v>1.2648546609366004E-2</v>
      </c>
      <c r="J11" s="37"/>
      <c r="K11" s="37">
        <v>0.67200000000000004</v>
      </c>
      <c r="L11" s="40">
        <f t="shared" si="5"/>
        <v>38.195975646408385</v>
      </c>
      <c r="N11" s="36">
        <v>6</v>
      </c>
      <c r="O11" s="37">
        <f t="shared" si="6"/>
        <v>144</v>
      </c>
      <c r="P11" s="38">
        <f>180*40/10*10^4/10^6</f>
        <v>7.2</v>
      </c>
      <c r="Q11" s="38">
        <f>0*32/10*10^4/10^6</f>
        <v>0</v>
      </c>
      <c r="R11" s="39">
        <f t="shared" si="1"/>
        <v>1</v>
      </c>
      <c r="S11" s="38">
        <f t="shared" si="7"/>
        <v>398.49599999999998</v>
      </c>
      <c r="T11" s="37">
        <f t="shared" si="8"/>
        <v>2.8747029786229763E-3</v>
      </c>
      <c r="U11" s="37"/>
      <c r="V11" s="37">
        <v>0.4919</v>
      </c>
      <c r="W11" s="40">
        <f t="shared" si="9"/>
        <v>20.396017633330004</v>
      </c>
    </row>
    <row r="12" spans="1:23" x14ac:dyDescent="0.25">
      <c r="A12">
        <v>32.5</v>
      </c>
      <c r="B12">
        <v>0</v>
      </c>
      <c r="C12" s="36">
        <v>7</v>
      </c>
      <c r="D12" s="37">
        <f t="shared" si="2"/>
        <v>168</v>
      </c>
      <c r="E12" s="38">
        <f>206*50/10*10^4/10^6</f>
        <v>10.3</v>
      </c>
      <c r="F12" s="38">
        <f>0*20/10*10^4/10^6</f>
        <v>0</v>
      </c>
      <c r="G12" s="39">
        <f t="shared" si="0"/>
        <v>1</v>
      </c>
      <c r="H12" s="38">
        <f t="shared" si="3"/>
        <v>632.6880000000001</v>
      </c>
      <c r="I12" s="37">
        <f t="shared" si="4"/>
        <v>6.5580072396428752E-3</v>
      </c>
      <c r="J12" s="37"/>
      <c r="K12" s="41">
        <v>0.76819999999999999</v>
      </c>
      <c r="L12" s="40">
        <f t="shared" si="5"/>
        <v>10.094084743258311</v>
      </c>
      <c r="N12" s="36">
        <v>7</v>
      </c>
      <c r="O12" s="37">
        <f t="shared" si="6"/>
        <v>168</v>
      </c>
      <c r="P12" s="38">
        <f>215*50/10*10^4/10^6</f>
        <v>10.75</v>
      </c>
      <c r="Q12" s="38">
        <f>0*32/10*10^4/10^6</f>
        <v>0</v>
      </c>
      <c r="R12" s="39">
        <f t="shared" si="1"/>
        <v>1</v>
      </c>
      <c r="S12" s="38">
        <f t="shared" si="7"/>
        <v>613.89599999999996</v>
      </c>
      <c r="T12" s="37">
        <f t="shared" si="8"/>
        <v>1.6701030356319247E-2</v>
      </c>
      <c r="U12" s="37"/>
      <c r="V12" s="37">
        <v>0.81910000000000005</v>
      </c>
      <c r="W12" s="40">
        <f t="shared" si="9"/>
        <v>36.943620051296847</v>
      </c>
    </row>
    <row r="13" spans="1:23" x14ac:dyDescent="0.25">
      <c r="A13">
        <v>32.5</v>
      </c>
      <c r="B13">
        <v>1</v>
      </c>
      <c r="C13" s="13">
        <v>8</v>
      </c>
      <c r="D13">
        <f t="shared" si="2"/>
        <v>192</v>
      </c>
      <c r="E13" s="19">
        <f>219*50/10*10^4/10^6</f>
        <v>10.95</v>
      </c>
      <c r="F13" s="27">
        <f>0*20/10*10^4/10^6</f>
        <v>0</v>
      </c>
      <c r="G13" s="17">
        <f t="shared" si="0"/>
        <v>1</v>
      </c>
      <c r="H13" s="19">
        <f t="shared" si="3"/>
        <v>887.6880000000001</v>
      </c>
      <c r="I13">
        <f t="shared" si="4"/>
        <v>2.5498150427883206E-3</v>
      </c>
      <c r="K13" s="25">
        <v>1.1160000000000001</v>
      </c>
      <c r="L13" s="14">
        <f t="shared" si="5"/>
        <v>32.744332500250344</v>
      </c>
      <c r="N13" s="13">
        <v>8</v>
      </c>
      <c r="O13">
        <f t="shared" si="6"/>
        <v>192</v>
      </c>
      <c r="P13" s="19">
        <f>210*50/10*10^4/10^6</f>
        <v>10.5</v>
      </c>
      <c r="Q13" s="27">
        <f>0*32/10*10^4/10^6</f>
        <v>0</v>
      </c>
      <c r="R13" s="17">
        <f t="shared" si="1"/>
        <v>1</v>
      </c>
      <c r="S13" s="19">
        <f t="shared" si="7"/>
        <v>868.89599999999996</v>
      </c>
      <c r="T13">
        <f t="shared" si="8"/>
        <v>-9.8043739209141556E-4</v>
      </c>
      <c r="V13">
        <v>1.3979999999999999</v>
      </c>
      <c r="W13" s="14">
        <f t="shared" si="9"/>
        <v>54.48721980304515</v>
      </c>
    </row>
    <row r="14" spans="1:23" x14ac:dyDescent="0.25">
      <c r="A14">
        <v>32.5</v>
      </c>
      <c r="B14">
        <v>0</v>
      </c>
      <c r="C14" s="13">
        <v>9</v>
      </c>
      <c r="D14">
        <f t="shared" si="2"/>
        <v>216</v>
      </c>
      <c r="E14" s="19">
        <f>204*50/10*10^4/10^6</f>
        <v>10.199999999999999</v>
      </c>
      <c r="F14" s="27">
        <f>12*50/10*10^4/10^6</f>
        <v>0.6</v>
      </c>
      <c r="G14" s="17">
        <f t="shared" si="0"/>
        <v>0.94444444444444442</v>
      </c>
      <c r="H14" s="19">
        <f t="shared" si="3"/>
        <v>1141.4880000000001</v>
      </c>
      <c r="I14">
        <f t="shared" si="4"/>
        <v>-2.9563223321785181E-3</v>
      </c>
      <c r="K14" s="25">
        <v>1.423</v>
      </c>
      <c r="L14" s="14">
        <f t="shared" si="5"/>
        <v>29.04291059132176</v>
      </c>
      <c r="N14" s="13">
        <v>9</v>
      </c>
      <c r="O14">
        <f t="shared" si="6"/>
        <v>216</v>
      </c>
      <c r="P14" s="19">
        <f>215*50/10*10^4/10^6</f>
        <v>10.75</v>
      </c>
      <c r="Q14" s="27">
        <f>7*50/10*10^4/10^6</f>
        <v>0.35</v>
      </c>
      <c r="R14" s="17">
        <f t="shared" si="1"/>
        <v>0.96846846846846846</v>
      </c>
      <c r="S14" s="19">
        <f t="shared" si="7"/>
        <v>1123.896</v>
      </c>
      <c r="T14">
        <f t="shared" si="8"/>
        <v>9.8043739209141556E-4</v>
      </c>
      <c r="V14">
        <v>1.5860000000000001</v>
      </c>
      <c r="W14" s="14">
        <f t="shared" si="9"/>
        <v>17.694934052465886</v>
      </c>
    </row>
    <row r="15" spans="1:23" x14ac:dyDescent="0.25">
      <c r="A15">
        <v>32.5</v>
      </c>
      <c r="B15">
        <v>1</v>
      </c>
      <c r="C15" s="13">
        <v>10</v>
      </c>
      <c r="D15">
        <f t="shared" si="2"/>
        <v>240</v>
      </c>
      <c r="E15" s="19">
        <f>209*50/10*10^4/10^6</f>
        <v>10.45</v>
      </c>
      <c r="F15" s="27">
        <f>14*50/10*10^4/10^6</f>
        <v>0.7</v>
      </c>
      <c r="G15" s="17">
        <f t="shared" si="0"/>
        <v>0.93721973094170408</v>
      </c>
      <c r="H15" s="19">
        <f t="shared" si="3"/>
        <v>1389.288</v>
      </c>
      <c r="I15">
        <f t="shared" si="4"/>
        <v>1.0089274216914523E-3</v>
      </c>
      <c r="K15" s="25">
        <v>1.8779999999999999</v>
      </c>
      <c r="L15" s="14">
        <f t="shared" si="5"/>
        <v>44.069949779482627</v>
      </c>
      <c r="N15" s="13">
        <v>10</v>
      </c>
      <c r="O15">
        <f t="shared" si="6"/>
        <v>240</v>
      </c>
      <c r="P15" s="19">
        <f>200*50/10*10^4/10^6</f>
        <v>10</v>
      </c>
      <c r="Q15" s="27">
        <f>12*50/10*10^4/10^6</f>
        <v>0.6</v>
      </c>
      <c r="R15" s="17">
        <f t="shared" si="1"/>
        <v>0.94339622641509435</v>
      </c>
      <c r="S15" s="19">
        <f t="shared" si="7"/>
        <v>1372.896</v>
      </c>
      <c r="T15">
        <f t="shared" si="8"/>
        <v>-3.0133608991510705E-3</v>
      </c>
      <c r="V15">
        <v>1.7509999999999999</v>
      </c>
      <c r="W15" s="14">
        <f t="shared" si="9"/>
        <v>15.910545547517636</v>
      </c>
    </row>
    <row r="16" spans="1:23" x14ac:dyDescent="0.25">
      <c r="A16">
        <v>32.5</v>
      </c>
      <c r="B16">
        <v>0</v>
      </c>
      <c r="C16" s="13">
        <v>11</v>
      </c>
      <c r="D16">
        <f t="shared" si="2"/>
        <v>264</v>
      </c>
      <c r="E16" s="19">
        <f>220*50/10*10^4/10^6</f>
        <v>11</v>
      </c>
      <c r="F16" s="27">
        <f>39*50/10*10^4/10^6</f>
        <v>1.95</v>
      </c>
      <c r="G16" s="17">
        <f t="shared" si="0"/>
        <v>0.8494208494208495</v>
      </c>
      <c r="H16" s="19">
        <f t="shared" si="3"/>
        <v>1646.6880000000001</v>
      </c>
      <c r="I16">
        <f t="shared" si="4"/>
        <v>2.1372205994812745E-3</v>
      </c>
      <c r="K16" s="25">
        <v>1.9650000000000001</v>
      </c>
      <c r="L16" s="14">
        <f>((K16-K15)/(E16-E15))*I16*24000</f>
        <v>8.1136665667580079</v>
      </c>
      <c r="N16" s="13">
        <v>11</v>
      </c>
      <c r="O16">
        <f t="shared" si="6"/>
        <v>264</v>
      </c>
      <c r="P16" s="19">
        <f>191*50/10*10^4/10^6</f>
        <v>9.5500000000000007</v>
      </c>
      <c r="Q16" s="27">
        <f>32*50/10*10^4/10^6</f>
        <v>1.6</v>
      </c>
      <c r="R16" s="17">
        <f t="shared" si="1"/>
        <v>0.8565022421524664</v>
      </c>
      <c r="S16" s="19">
        <f t="shared" si="7"/>
        <v>1607.4960000000001</v>
      </c>
      <c r="T16">
        <f t="shared" si="8"/>
        <v>-1.9184974375586195E-3</v>
      </c>
      <c r="V16" s="16">
        <v>2.024</v>
      </c>
      <c r="W16" s="14">
        <f>((V16-V15)/(P16-P15))*T16*24000</f>
        <v>27.933322690853558</v>
      </c>
    </row>
    <row r="17" spans="1:23" x14ac:dyDescent="0.25">
      <c r="A17">
        <v>32.5</v>
      </c>
      <c r="B17">
        <v>1</v>
      </c>
      <c r="C17" s="13">
        <v>12</v>
      </c>
      <c r="D17">
        <f t="shared" si="2"/>
        <v>288</v>
      </c>
      <c r="E17" s="19">
        <f>182*50/10*10^4/10^6</f>
        <v>9.1</v>
      </c>
      <c r="F17" s="27">
        <f>19*50/10*10^4/10^6</f>
        <v>0.95</v>
      </c>
      <c r="G17" s="17">
        <f t="shared" si="0"/>
        <v>0.9054726368159205</v>
      </c>
      <c r="H17" s="19">
        <f t="shared" si="3"/>
        <v>1887.8880000000001</v>
      </c>
      <c r="I17">
        <f t="shared" si="4"/>
        <v>-7.900869136481933E-3</v>
      </c>
      <c r="K17" s="25">
        <v>1.88</v>
      </c>
      <c r="L17" s="14">
        <f t="shared" si="5"/>
        <v>-8.4830384412753563</v>
      </c>
      <c r="N17" s="13">
        <v>12</v>
      </c>
      <c r="O17">
        <f t="shared" si="6"/>
        <v>288</v>
      </c>
      <c r="P17" s="19">
        <f>156*50/10*10^4/10^6</f>
        <v>7.8</v>
      </c>
      <c r="Q17" s="27">
        <f>31*50/10*10^4/10^6</f>
        <v>1.55</v>
      </c>
      <c r="R17" s="17">
        <f t="shared" si="1"/>
        <v>0.83422459893048129</v>
      </c>
      <c r="S17" s="19">
        <f t="shared" si="7"/>
        <v>1815.6960000000001</v>
      </c>
      <c r="T17">
        <f t="shared" si="8"/>
        <v>-8.4340591998788659E-3</v>
      </c>
      <c r="V17">
        <v>1.879</v>
      </c>
      <c r="W17" s="14">
        <f t="shared" si="9"/>
        <v>-16.771729151759111</v>
      </c>
    </row>
    <row r="18" spans="1:23" x14ac:dyDescent="0.25">
      <c r="A18">
        <v>32.5</v>
      </c>
      <c r="B18">
        <v>0</v>
      </c>
      <c r="C18" s="13">
        <v>13</v>
      </c>
      <c r="D18">
        <f t="shared" si="2"/>
        <v>312</v>
      </c>
      <c r="E18" s="19">
        <f>145*50/10*10^4/10^6</f>
        <v>7.25</v>
      </c>
      <c r="F18" s="27">
        <f>17*50/10*10^4/10^6</f>
        <v>0.85</v>
      </c>
      <c r="G18" s="17">
        <f t="shared" si="0"/>
        <v>0.89506172839506182</v>
      </c>
      <c r="H18" s="19">
        <f t="shared" si="3"/>
        <v>2084.0880000000002</v>
      </c>
      <c r="I18">
        <f t="shared" si="4"/>
        <v>-9.4697060273425393E-3</v>
      </c>
      <c r="K18" s="25">
        <v>1.8140000000000001</v>
      </c>
      <c r="L18" s="14">
        <f t="shared" si="5"/>
        <v>-8.1081158634111077</v>
      </c>
      <c r="N18" s="13">
        <v>13</v>
      </c>
      <c r="O18">
        <f t="shared" si="6"/>
        <v>312</v>
      </c>
      <c r="P18" s="19">
        <f>176*50/10*10^4/10^6</f>
        <v>8.8000000000000007</v>
      </c>
      <c r="Q18" s="27">
        <f>30*50/10*10^4/10^6</f>
        <v>1.5</v>
      </c>
      <c r="R18" s="17">
        <f t="shared" si="1"/>
        <v>0.85436893203883502</v>
      </c>
      <c r="S18" s="19">
        <f t="shared" si="7"/>
        <v>2014.8960000000002</v>
      </c>
      <c r="T18">
        <f t="shared" si="8"/>
        <v>5.0261661578589467E-3</v>
      </c>
      <c r="V18">
        <v>1.895</v>
      </c>
      <c r="W18" s="14">
        <f t="shared" si="9"/>
        <v>1.9300478046178355</v>
      </c>
    </row>
    <row r="19" spans="1:23" ht="16.5" thickBot="1" x14ac:dyDescent="0.3">
      <c r="A19">
        <v>32.5</v>
      </c>
      <c r="B19">
        <v>0</v>
      </c>
      <c r="C19" s="20">
        <v>14</v>
      </c>
      <c r="D19" s="21">
        <f t="shared" si="2"/>
        <v>336</v>
      </c>
      <c r="E19" s="21">
        <f>129*40/10*10^4/10^6</f>
        <v>5.16</v>
      </c>
      <c r="F19" s="28">
        <f>55*40/10*10^4/10^6</f>
        <v>2.2000000000000002</v>
      </c>
      <c r="G19" s="23">
        <f t="shared" si="0"/>
        <v>0.70108695652173914</v>
      </c>
      <c r="H19" s="24">
        <f t="shared" si="3"/>
        <v>2233.0080000000003</v>
      </c>
      <c r="I19" s="21">
        <f t="shared" si="4"/>
        <v>-1.4169370390546332E-2</v>
      </c>
      <c r="J19" s="21"/>
      <c r="K19" s="21">
        <v>1.802</v>
      </c>
      <c r="L19" s="22">
        <f t="shared" si="5"/>
        <v>-1.9525256806111708</v>
      </c>
      <c r="M19" s="21"/>
      <c r="N19" s="20">
        <v>14</v>
      </c>
      <c r="O19" s="21">
        <f t="shared" si="6"/>
        <v>336</v>
      </c>
      <c r="P19" s="24">
        <f>151*40/10*10^4/10^6</f>
        <v>6.04</v>
      </c>
      <c r="Q19" s="28">
        <f>56*40/10*10^4/10^6</f>
        <v>2.2400000000000002</v>
      </c>
      <c r="R19" s="23">
        <f t="shared" si="1"/>
        <v>0.72946859903381633</v>
      </c>
      <c r="S19" s="24">
        <f t="shared" si="7"/>
        <v>2192.9760000000001</v>
      </c>
      <c r="T19" s="21">
        <f t="shared" si="8"/>
        <v>-1.5681154564059895E-2</v>
      </c>
      <c r="U19" s="21"/>
      <c r="V19" s="21">
        <v>1.764</v>
      </c>
      <c r="W19" s="22">
        <f>((V19-V18)/(P19-P18))*T19*24000</f>
        <v>-17.862880416450832</v>
      </c>
    </row>
    <row r="20" spans="1:23" x14ac:dyDescent="0.25">
      <c r="F20" s="27"/>
      <c r="G20" s="17"/>
      <c r="H20" s="19"/>
      <c r="L20" s="14"/>
      <c r="P20" s="19"/>
      <c r="Q20" s="27"/>
      <c r="R20" s="17"/>
      <c r="S20" s="19"/>
      <c r="W20" s="14"/>
    </row>
    <row r="21" spans="1:23" x14ac:dyDescent="0.25">
      <c r="E21" s="42"/>
      <c r="F21" s="43"/>
      <c r="G21" s="43"/>
      <c r="H21" s="42"/>
      <c r="J21" s="42"/>
      <c r="K21" s="42"/>
      <c r="L21" s="42"/>
      <c r="M21" s="42"/>
      <c r="N21" s="42"/>
      <c r="O21" s="42"/>
      <c r="P21" s="42"/>
      <c r="Q21" s="27"/>
      <c r="R21" s="17"/>
      <c r="S21" s="19"/>
      <c r="U21" s="42"/>
      <c r="V21" s="42"/>
      <c r="W21" s="42"/>
    </row>
    <row r="22" spans="1:23" x14ac:dyDescent="0.25">
      <c r="E22" s="42"/>
      <c r="F22" s="43"/>
      <c r="G22" s="43"/>
      <c r="H22" s="42"/>
      <c r="J22" s="42"/>
      <c r="K22" s="42"/>
      <c r="L22" s="42"/>
      <c r="M22" s="42"/>
      <c r="N22" s="42"/>
      <c r="O22" s="42"/>
      <c r="P22" s="42"/>
      <c r="Q22" s="27"/>
      <c r="R22" s="17"/>
      <c r="S22" s="19"/>
      <c r="U22" s="42"/>
      <c r="V22" s="42"/>
      <c r="W22" s="42"/>
    </row>
    <row r="23" spans="1:23" ht="16.5" thickBot="1" x14ac:dyDescent="0.3">
      <c r="J23" s="42"/>
      <c r="K23" s="42"/>
      <c r="L23" s="42"/>
      <c r="M23" s="42"/>
      <c r="N23" s="42"/>
      <c r="O23" s="42"/>
      <c r="P23" s="42"/>
      <c r="Q23" s="27"/>
      <c r="R23" s="17"/>
      <c r="S23" s="19"/>
      <c r="U23" s="42"/>
      <c r="V23" s="42"/>
      <c r="W23" s="42"/>
    </row>
    <row r="24" spans="1:23" ht="16.5" thickBot="1" x14ac:dyDescent="0.3">
      <c r="C24" s="68" t="s">
        <v>37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70"/>
    </row>
    <row r="25" spans="1:23" x14ac:dyDescent="0.25">
      <c r="C25" s="10">
        <v>1</v>
      </c>
      <c r="D25" s="11"/>
      <c r="E25" s="11"/>
      <c r="F25" s="11"/>
      <c r="G25" s="11"/>
      <c r="H25" s="11"/>
      <c r="I25" s="11"/>
      <c r="J25" s="11"/>
      <c r="K25" s="11" t="s">
        <v>24</v>
      </c>
      <c r="L25" s="12"/>
      <c r="M25" s="12"/>
      <c r="N25" s="10">
        <v>2</v>
      </c>
      <c r="O25" s="11"/>
      <c r="P25" s="11"/>
      <c r="Q25" s="11"/>
      <c r="R25" s="11"/>
      <c r="S25" s="11"/>
      <c r="T25" s="11"/>
      <c r="U25" s="11"/>
      <c r="V25" s="11" t="s">
        <v>24</v>
      </c>
      <c r="W25" s="12"/>
    </row>
    <row r="26" spans="1:23" ht="94.5" x14ac:dyDescent="0.25">
      <c r="A26" t="s">
        <v>17</v>
      </c>
      <c r="B26" t="s">
        <v>11</v>
      </c>
      <c r="C26" s="13" t="s">
        <v>9</v>
      </c>
      <c r="E26" s="25" t="s">
        <v>29</v>
      </c>
      <c r="F26" t="s">
        <v>23</v>
      </c>
      <c r="G26" t="s">
        <v>22</v>
      </c>
      <c r="H26" s="15" t="s">
        <v>27</v>
      </c>
      <c r="I26" s="16" t="s">
        <v>28</v>
      </c>
      <c r="J26" s="16"/>
      <c r="K26" s="25" t="s">
        <v>25</v>
      </c>
      <c r="L26" s="26" t="s">
        <v>26</v>
      </c>
      <c r="M26" s="14"/>
      <c r="N26" s="13" t="s">
        <v>9</v>
      </c>
      <c r="P26" s="25" t="s">
        <v>29</v>
      </c>
      <c r="Q26" t="s">
        <v>23</v>
      </c>
      <c r="R26" t="s">
        <v>22</v>
      </c>
      <c r="S26" s="15" t="s">
        <v>27</v>
      </c>
      <c r="T26" s="16" t="s">
        <v>28</v>
      </c>
      <c r="U26" s="16"/>
      <c r="V26" s="25" t="s">
        <v>25</v>
      </c>
      <c r="W26" s="26" t="s">
        <v>26</v>
      </c>
    </row>
    <row r="27" spans="1:23" x14ac:dyDescent="0.25">
      <c r="A27">
        <v>36.5</v>
      </c>
      <c r="B27">
        <v>0</v>
      </c>
      <c r="C27" s="13">
        <v>0</v>
      </c>
      <c r="D27">
        <f>C27*24</f>
        <v>0</v>
      </c>
      <c r="E27" s="19">
        <f>2*10^5/10^6</f>
        <v>0.2</v>
      </c>
      <c r="F27" s="27">
        <v>0</v>
      </c>
      <c r="G27" s="17">
        <f>E27/SUM(E27:F27)</f>
        <v>1</v>
      </c>
      <c r="H27" s="18">
        <v>0</v>
      </c>
      <c r="I27">
        <v>0</v>
      </c>
      <c r="K27">
        <v>3.5362089999999998E-3</v>
      </c>
      <c r="L27" s="14"/>
      <c r="M27" s="14"/>
      <c r="N27" s="13">
        <v>0</v>
      </c>
      <c r="O27">
        <f>N27*24</f>
        <v>0</v>
      </c>
      <c r="P27" s="19">
        <f>2*10^5/10^6</f>
        <v>0.2</v>
      </c>
      <c r="Q27" s="27">
        <v>0</v>
      </c>
      <c r="R27" s="17">
        <f>P27/SUM(P27:Q27)</f>
        <v>1</v>
      </c>
      <c r="S27" s="18">
        <v>0</v>
      </c>
      <c r="T27">
        <v>0</v>
      </c>
      <c r="V27">
        <v>2.5000000000000001E-3</v>
      </c>
      <c r="W27" s="14"/>
    </row>
    <row r="28" spans="1:23" x14ac:dyDescent="0.25">
      <c r="A28">
        <v>36.5</v>
      </c>
      <c r="B28">
        <v>0</v>
      </c>
      <c r="C28" s="13">
        <v>1</v>
      </c>
      <c r="D28">
        <f>C28*24</f>
        <v>24</v>
      </c>
      <c r="E28" s="19">
        <f>105*4/10*10^4/10^6</f>
        <v>0.42</v>
      </c>
      <c r="F28" s="27">
        <f>4*4/10*10^4/10^6</f>
        <v>1.6E-2</v>
      </c>
      <c r="G28" s="17">
        <f t="shared" ref="G28:G41" si="10">E28/SUM(E28:F28)</f>
        <v>0.96330275229357798</v>
      </c>
      <c r="H28" s="19">
        <f>((E28+E27))/2*(D28-D27)+H27</f>
        <v>7.4399999999999995</v>
      </c>
      <c r="I28">
        <f>(LN(E28)-LN(E27))/(D28-D27)</f>
        <v>3.0914056030390717E-2</v>
      </c>
      <c r="K28" s="25">
        <v>1.755E-2</v>
      </c>
      <c r="L28" s="14">
        <f>((K28-K27)/(E28-E27))*I28*24000</f>
        <v>47.260704018783834</v>
      </c>
      <c r="M28" s="14"/>
      <c r="N28" s="13">
        <v>1</v>
      </c>
      <c r="O28">
        <f>N28*24</f>
        <v>24</v>
      </c>
      <c r="P28" s="19">
        <f>84*4/10*10^4/10^6</f>
        <v>0.33600000000000002</v>
      </c>
      <c r="Q28" s="27">
        <f>(5)*4/10*10^4/10^6</f>
        <v>0.02</v>
      </c>
      <c r="R28" s="17">
        <f t="shared" ref="R28:R41" si="11">P28/SUM(P28:Q28)</f>
        <v>0.9438202247191011</v>
      </c>
      <c r="S28" s="19">
        <f>((P28+P27))/2*(O28-O27)+S27</f>
        <v>6.4320000000000004</v>
      </c>
      <c r="T28">
        <f>(LN(P28)-LN(P27))/(O28-O27)</f>
        <v>2.1616408058965319E-2</v>
      </c>
      <c r="V28">
        <v>1.7229999999999999E-2</v>
      </c>
      <c r="W28" s="14">
        <f>((V28-V27)/(P28-P27))*T28*24000</f>
        <v>56.189945419157489</v>
      </c>
    </row>
    <row r="29" spans="1:23" x14ac:dyDescent="0.25">
      <c r="A29">
        <v>36.5</v>
      </c>
      <c r="B29">
        <v>1</v>
      </c>
      <c r="C29" s="13">
        <v>2</v>
      </c>
      <c r="D29">
        <f t="shared" ref="D29:D41" si="12">C29*24</f>
        <v>48</v>
      </c>
      <c r="E29" s="19">
        <f>135*6/10*10^4/10^6</f>
        <v>0.81</v>
      </c>
      <c r="F29" s="27">
        <f>2*6/10*10^4/10^6</f>
        <v>1.2E-2</v>
      </c>
      <c r="G29" s="17">
        <f t="shared" si="10"/>
        <v>0.98540145985401462</v>
      </c>
      <c r="H29" s="19">
        <f t="shared" ref="H29:H41" si="13">((E29+E28))/2*(D29-D28)+H28</f>
        <v>22.2</v>
      </c>
      <c r="I29">
        <f>(LN(E29)-LN(E28))/(D29-D28)</f>
        <v>2.7365814016211271E-2</v>
      </c>
      <c r="K29">
        <v>2.9919999999999999E-2</v>
      </c>
      <c r="L29" s="14">
        <f t="shared" ref="L29:L41" si="14">((K29-K28)/(E29-E28))*I29*24000</f>
        <v>20.831699654186668</v>
      </c>
      <c r="M29" s="14"/>
      <c r="N29" s="13">
        <v>2</v>
      </c>
      <c r="O29">
        <f t="shared" ref="O29:O41" si="15">N29*24</f>
        <v>48</v>
      </c>
      <c r="P29" s="19">
        <f>97*8/10*10^4/10^6</f>
        <v>0.77600000000000002</v>
      </c>
      <c r="Q29" s="27">
        <f>(3)*8/10*10^4/10^6</f>
        <v>2.4E-2</v>
      </c>
      <c r="R29" s="17">
        <f t="shared" si="11"/>
        <v>0.97</v>
      </c>
      <c r="S29" s="19">
        <f t="shared" ref="S29:S41" si="16">((P29+P28))/2*(O29-O28)+S28</f>
        <v>19.776000000000003</v>
      </c>
      <c r="T29">
        <f t="shared" ref="T29:T41" si="17">(LN(P29)-LN(P28))/(O29-O28)</f>
        <v>3.4876723342500603E-2</v>
      </c>
      <c r="V29">
        <v>3.5220000000000001E-2</v>
      </c>
      <c r="W29" s="14">
        <f t="shared" ref="W29:W41" si="18">((V29-V28)/(P29-P28))*T29*24000</f>
        <v>34.223577432631963</v>
      </c>
    </row>
    <row r="30" spans="1:23" x14ac:dyDescent="0.25">
      <c r="A30">
        <v>36.5</v>
      </c>
      <c r="B30">
        <v>0</v>
      </c>
      <c r="C30" s="36">
        <v>3</v>
      </c>
      <c r="D30" s="37">
        <f t="shared" si="12"/>
        <v>72</v>
      </c>
      <c r="E30" s="38">
        <f>85*20/10*10^4/10^6</f>
        <v>1.7</v>
      </c>
      <c r="F30" s="38">
        <f>4*4/10*10^4/10^6</f>
        <v>1.6E-2</v>
      </c>
      <c r="G30" s="39">
        <f t="shared" si="10"/>
        <v>0.99067599067599066</v>
      </c>
      <c r="H30" s="38">
        <f t="shared" si="13"/>
        <v>52.319999999999993</v>
      </c>
      <c r="I30" s="37">
        <f t="shared" ref="I30:I41" si="19">(LN(E30)-LN(E29))/(D30-D29)</f>
        <v>3.0889553432409289E-2</v>
      </c>
      <c r="J30" s="37"/>
      <c r="K30" s="37">
        <v>6.472E-2</v>
      </c>
      <c r="L30" s="40">
        <f t="shared" si="14"/>
        <v>28.987589917694653</v>
      </c>
      <c r="M30" s="14"/>
      <c r="N30" s="36">
        <v>3</v>
      </c>
      <c r="O30" s="37">
        <f t="shared" si="15"/>
        <v>72</v>
      </c>
      <c r="P30" s="38">
        <f>63*20/10*10^4/10^6</f>
        <v>1.26</v>
      </c>
      <c r="Q30" s="38">
        <f>(7)*10/10*10^4/10^6</f>
        <v>7.0000000000000007E-2</v>
      </c>
      <c r="R30" s="39">
        <f t="shared" si="11"/>
        <v>0.94736842105263153</v>
      </c>
      <c r="S30" s="38">
        <f t="shared" si="16"/>
        <v>44.208000000000006</v>
      </c>
      <c r="T30" s="37">
        <f t="shared" si="17"/>
        <v>2.0196436656762701E-2</v>
      </c>
      <c r="U30" s="37"/>
      <c r="V30" s="37">
        <v>6.3880000000000006E-2</v>
      </c>
      <c r="W30" s="40">
        <f t="shared" si="18"/>
        <v>28.702307830553014</v>
      </c>
    </row>
    <row r="31" spans="1:23" x14ac:dyDescent="0.25">
      <c r="A31">
        <v>32.5</v>
      </c>
      <c r="B31">
        <v>1</v>
      </c>
      <c r="C31" s="36">
        <v>4</v>
      </c>
      <c r="D31" s="37">
        <f t="shared" si="12"/>
        <v>96</v>
      </c>
      <c r="E31" s="38">
        <f>300*20/10*10^4/10^6</f>
        <v>6</v>
      </c>
      <c r="F31" s="38">
        <f>33*0/10*10^4/10^6</f>
        <v>0</v>
      </c>
      <c r="G31" s="39">
        <f t="shared" si="10"/>
        <v>1</v>
      </c>
      <c r="H31" s="38">
        <f t="shared" si="13"/>
        <v>144.72</v>
      </c>
      <c r="I31" s="37">
        <f t="shared" si="19"/>
        <v>5.2547134090245196E-2</v>
      </c>
      <c r="J31" s="37"/>
      <c r="K31" s="37">
        <v>0.15670000000000001</v>
      </c>
      <c r="L31" s="40">
        <f>((K31-K30)/(E31-E30))*I31*24000</f>
        <v>26.976476615557697</v>
      </c>
      <c r="M31" s="14"/>
      <c r="N31" s="36">
        <v>4</v>
      </c>
      <c r="O31" s="37">
        <f t="shared" si="15"/>
        <v>96</v>
      </c>
      <c r="P31" s="38">
        <f>117*32/10*10^4/10^6</f>
        <v>3.7440000000000002</v>
      </c>
      <c r="Q31" s="38">
        <f>33*0/10*10^4/10^6</f>
        <v>0</v>
      </c>
      <c r="R31" s="39">
        <f t="shared" si="11"/>
        <v>1</v>
      </c>
      <c r="S31" s="38">
        <f t="shared" si="16"/>
        <v>104.256</v>
      </c>
      <c r="T31" s="37">
        <f t="shared" si="17"/>
        <v>4.5376784902164957E-2</v>
      </c>
      <c r="U31" s="37"/>
      <c r="V31" s="37">
        <v>0.1537</v>
      </c>
      <c r="W31" s="40">
        <f t="shared" si="18"/>
        <v>39.379157680313583</v>
      </c>
    </row>
    <row r="32" spans="1:23" x14ac:dyDescent="0.25">
      <c r="A32">
        <v>32.5</v>
      </c>
      <c r="B32">
        <v>0</v>
      </c>
      <c r="C32" s="36">
        <v>5</v>
      </c>
      <c r="D32" s="37">
        <f t="shared" si="12"/>
        <v>120</v>
      </c>
      <c r="E32" s="38">
        <f>165*36/10*10^4/10^6</f>
        <v>5.94</v>
      </c>
      <c r="F32" s="38">
        <f>33*0/10*10^4/10^6</f>
        <v>0</v>
      </c>
      <c r="G32" s="39">
        <f t="shared" si="10"/>
        <v>1</v>
      </c>
      <c r="H32" s="38">
        <f t="shared" si="13"/>
        <v>288</v>
      </c>
      <c r="I32" s="37">
        <f t="shared" si="19"/>
        <v>-4.1876399389588942E-4</v>
      </c>
      <c r="J32" s="37"/>
      <c r="K32" s="37">
        <v>0.25469999999999998</v>
      </c>
      <c r="L32" s="40">
        <f>((K32-K31)/(E32-E31))*I32*24000</f>
        <v>16.415548560718968</v>
      </c>
      <c r="M32" s="14"/>
      <c r="N32" s="36">
        <v>5</v>
      </c>
      <c r="O32" s="37">
        <f t="shared" si="15"/>
        <v>120</v>
      </c>
      <c r="P32" s="38">
        <f>110*36/10*10^4/10^6</f>
        <v>3.96</v>
      </c>
      <c r="Q32" s="38">
        <f>5*36/10*10^4/10^6</f>
        <v>0.18</v>
      </c>
      <c r="R32" s="39">
        <f t="shared" si="11"/>
        <v>0.95652173913043481</v>
      </c>
      <c r="S32" s="38">
        <f t="shared" si="16"/>
        <v>196.70400000000001</v>
      </c>
      <c r="T32" s="37">
        <f t="shared" si="17"/>
        <v>2.3370611104601515E-3</v>
      </c>
      <c r="U32" s="37"/>
      <c r="V32" s="37">
        <v>0.2394</v>
      </c>
      <c r="W32" s="40">
        <f t="shared" si="18"/>
        <v>22.254015240715024</v>
      </c>
    </row>
    <row r="33" spans="1:23" x14ac:dyDescent="0.25">
      <c r="A33">
        <v>32.5</v>
      </c>
      <c r="B33">
        <v>1</v>
      </c>
      <c r="C33" s="36">
        <v>6</v>
      </c>
      <c r="D33" s="37">
        <f t="shared" si="12"/>
        <v>144</v>
      </c>
      <c r="E33" s="38">
        <f>170*40/10*10^4/10^6</f>
        <v>6.8</v>
      </c>
      <c r="F33" s="38">
        <f>33*0/10*10^4/10^6</f>
        <v>0</v>
      </c>
      <c r="G33" s="39">
        <f t="shared" si="10"/>
        <v>1</v>
      </c>
      <c r="H33" s="38">
        <f t="shared" si="13"/>
        <v>440.88</v>
      </c>
      <c r="I33" s="37">
        <f t="shared" si="19"/>
        <v>5.6338949503128106E-3</v>
      </c>
      <c r="J33" s="37"/>
      <c r="K33" s="37">
        <v>0.4531</v>
      </c>
      <c r="L33" s="40">
        <f>((K33-K32)/(E33-E32))*I33*24000</f>
        <v>31.19343511094128</v>
      </c>
      <c r="M33" s="14"/>
      <c r="N33" s="36">
        <v>6</v>
      </c>
      <c r="O33" s="37">
        <f t="shared" si="15"/>
        <v>144</v>
      </c>
      <c r="P33" s="38">
        <f>137*40/10*10^4/10^6</f>
        <v>5.48</v>
      </c>
      <c r="Q33" s="38">
        <f>0*10/10*10^4/10^6</f>
        <v>0</v>
      </c>
      <c r="R33" s="39">
        <f t="shared" si="11"/>
        <v>1</v>
      </c>
      <c r="S33" s="38">
        <f t="shared" si="16"/>
        <v>309.98400000000004</v>
      </c>
      <c r="T33" s="37">
        <f t="shared" si="17"/>
        <v>1.3535878153897294E-2</v>
      </c>
      <c r="U33" s="37"/>
      <c r="V33" s="37">
        <v>0.44719999999999999</v>
      </c>
      <c r="W33" s="40">
        <f t="shared" si="18"/>
        <v>44.411928637576686</v>
      </c>
    </row>
    <row r="34" spans="1:23" x14ac:dyDescent="0.25">
      <c r="A34">
        <v>32.5</v>
      </c>
      <c r="B34">
        <v>0</v>
      </c>
      <c r="C34" s="36">
        <v>7</v>
      </c>
      <c r="D34" s="37">
        <f t="shared" si="12"/>
        <v>168</v>
      </c>
      <c r="E34" s="38">
        <f>201*50/10*10^4/10^6</f>
        <v>10.050000000000001</v>
      </c>
      <c r="F34" s="38">
        <f>33*0/10*10^4/10^6</f>
        <v>0</v>
      </c>
      <c r="G34" s="39">
        <f t="shared" si="10"/>
        <v>1</v>
      </c>
      <c r="H34" s="38">
        <f t="shared" si="13"/>
        <v>643.08000000000004</v>
      </c>
      <c r="I34" s="37">
        <f t="shared" si="19"/>
        <v>1.6277084263459324E-2</v>
      </c>
      <c r="J34" s="37"/>
      <c r="K34" s="37">
        <v>0.65</v>
      </c>
      <c r="L34" s="40">
        <f t="shared" si="14"/>
        <v>23.667381352431807</v>
      </c>
      <c r="M34" s="14"/>
      <c r="N34" s="36">
        <v>7</v>
      </c>
      <c r="O34" s="37">
        <f t="shared" si="15"/>
        <v>168</v>
      </c>
      <c r="P34" s="38">
        <f>150*50/10*10^4/10^6</f>
        <v>7.5</v>
      </c>
      <c r="Q34" s="38">
        <f>0*10/10*10^4/10^6</f>
        <v>0</v>
      </c>
      <c r="R34" s="39">
        <f t="shared" si="11"/>
        <v>1</v>
      </c>
      <c r="S34" s="38">
        <f t="shared" si="16"/>
        <v>465.74400000000003</v>
      </c>
      <c r="T34" s="37">
        <f t="shared" si="17"/>
        <v>1.307491331593085E-2</v>
      </c>
      <c r="U34" s="37"/>
      <c r="V34" s="37">
        <v>0.56769999999999998</v>
      </c>
      <c r="W34" s="40">
        <f t="shared" si="18"/>
        <v>18.719133321619815</v>
      </c>
    </row>
    <row r="35" spans="1:23" x14ac:dyDescent="0.25">
      <c r="A35">
        <v>32.5</v>
      </c>
      <c r="B35">
        <v>1</v>
      </c>
      <c r="C35" s="13">
        <v>8</v>
      </c>
      <c r="D35">
        <f t="shared" si="12"/>
        <v>192</v>
      </c>
      <c r="E35" s="19">
        <f>205*50/10*10^4/10^6</f>
        <v>10.25</v>
      </c>
      <c r="F35" s="27">
        <f>33*0/10*10^4/10^6</f>
        <v>0</v>
      </c>
      <c r="G35" s="17">
        <f t="shared" si="10"/>
        <v>1</v>
      </c>
      <c r="H35" s="19">
        <f t="shared" si="13"/>
        <v>886.68000000000006</v>
      </c>
      <c r="I35">
        <f t="shared" si="19"/>
        <v>8.2104462830551173E-4</v>
      </c>
      <c r="K35">
        <v>0.752</v>
      </c>
      <c r="L35" s="14">
        <f t="shared" si="14"/>
        <v>10.049586250459496</v>
      </c>
      <c r="M35" s="14"/>
      <c r="N35" s="36">
        <v>8</v>
      </c>
      <c r="O35" s="37">
        <f t="shared" si="15"/>
        <v>192</v>
      </c>
      <c r="P35" s="38">
        <f>185*50/10*10^4/10^6</f>
        <v>9.25</v>
      </c>
      <c r="Q35" s="38">
        <f>0*10/10*10^4/10^6</f>
        <v>0</v>
      </c>
      <c r="R35" s="39">
        <f t="shared" si="11"/>
        <v>1</v>
      </c>
      <c r="S35" s="38">
        <f t="shared" si="16"/>
        <v>666.74400000000003</v>
      </c>
      <c r="T35" s="37">
        <f t="shared" si="17"/>
        <v>8.7383554575862221E-3</v>
      </c>
      <c r="U35" s="37"/>
      <c r="V35" s="41">
        <v>0.70550000000000002</v>
      </c>
      <c r="W35" s="40">
        <f t="shared" si="18"/>
        <v>16.513993811045236</v>
      </c>
    </row>
    <row r="36" spans="1:23" x14ac:dyDescent="0.25">
      <c r="A36">
        <v>32.5</v>
      </c>
      <c r="B36">
        <v>0</v>
      </c>
      <c r="C36" s="13">
        <v>9</v>
      </c>
      <c r="D36">
        <f t="shared" si="12"/>
        <v>216</v>
      </c>
      <c r="E36" s="19">
        <f>234*50/10*10^4/10^6</f>
        <v>11.7</v>
      </c>
      <c r="F36" s="27">
        <f>12*50/10*10^4/10^6</f>
        <v>0.6</v>
      </c>
      <c r="G36" s="17">
        <f t="shared" si="10"/>
        <v>0.95121951219512202</v>
      </c>
      <c r="H36" s="19">
        <f t="shared" si="13"/>
        <v>1150.08</v>
      </c>
      <c r="I36">
        <f t="shared" si="19"/>
        <v>5.5129640091372183E-3</v>
      </c>
      <c r="K36">
        <v>0.92200000000000004</v>
      </c>
      <c r="L36" s="14">
        <f t="shared" si="14"/>
        <v>15.512340108468875</v>
      </c>
      <c r="M36" s="14"/>
      <c r="N36" s="13">
        <v>9</v>
      </c>
      <c r="O36">
        <f t="shared" si="15"/>
        <v>216</v>
      </c>
      <c r="P36" s="19">
        <f>200*50/10*10^4/10^6</f>
        <v>10</v>
      </c>
      <c r="Q36" s="27">
        <f>0*10/10*10^4/10^6</f>
        <v>0</v>
      </c>
      <c r="R36" s="17">
        <f t="shared" si="11"/>
        <v>1</v>
      </c>
      <c r="S36" s="19">
        <f t="shared" si="16"/>
        <v>897.74400000000003</v>
      </c>
      <c r="T36">
        <f t="shared" si="17"/>
        <v>3.2483975612379958E-3</v>
      </c>
      <c r="V36" s="25">
        <v>0.94689999999999996</v>
      </c>
      <c r="W36" s="14">
        <f t="shared" si="18"/>
        <v>25.093221481051263</v>
      </c>
    </row>
    <row r="37" spans="1:23" x14ac:dyDescent="0.25">
      <c r="A37">
        <v>32.5</v>
      </c>
      <c r="B37">
        <v>1</v>
      </c>
      <c r="C37" s="13">
        <v>10</v>
      </c>
      <c r="D37">
        <f t="shared" si="12"/>
        <v>240</v>
      </c>
      <c r="E37" s="19">
        <f>209*50/10*10^4/10^6</f>
        <v>10.45</v>
      </c>
      <c r="F37" s="27">
        <f>27*50/10*10^4/10^6</f>
        <v>1.35</v>
      </c>
      <c r="G37" s="17">
        <f t="shared" si="10"/>
        <v>0.88559322033898302</v>
      </c>
      <c r="H37" s="19">
        <f t="shared" si="13"/>
        <v>1415.8799999999999</v>
      </c>
      <c r="I37">
        <f t="shared" si="19"/>
        <v>-4.7077859747037638E-3</v>
      </c>
      <c r="K37">
        <v>1.244</v>
      </c>
      <c r="L37" s="14">
        <f t="shared" si="14"/>
        <v>29.105416010008543</v>
      </c>
      <c r="M37" s="14"/>
      <c r="N37" s="13">
        <v>10</v>
      </c>
      <c r="O37">
        <f t="shared" si="15"/>
        <v>240</v>
      </c>
      <c r="P37" s="19">
        <f>213*50/10*10^4/10^6</f>
        <v>10.65</v>
      </c>
      <c r="Q37" s="27">
        <f>23*50/10*10^4/10^6</f>
        <v>1.1499999999999999</v>
      </c>
      <c r="R37" s="17">
        <f t="shared" si="11"/>
        <v>0.90254237288135586</v>
      </c>
      <c r="S37" s="19">
        <f t="shared" si="16"/>
        <v>1145.5440000000001</v>
      </c>
      <c r="T37">
        <f t="shared" si="17"/>
        <v>2.6239499650578444E-3</v>
      </c>
      <c r="V37" s="25">
        <v>1.3260000000000001</v>
      </c>
      <c r="W37" s="14">
        <f t="shared" si="18"/>
        <v>36.728840557049672</v>
      </c>
    </row>
    <row r="38" spans="1:23" x14ac:dyDescent="0.25">
      <c r="A38">
        <v>32.5</v>
      </c>
      <c r="B38">
        <v>0</v>
      </c>
      <c r="C38" s="13">
        <v>11</v>
      </c>
      <c r="D38">
        <f t="shared" si="12"/>
        <v>264</v>
      </c>
      <c r="E38" s="19">
        <f>163*50/10*10^4/10^6</f>
        <v>8.15</v>
      </c>
      <c r="F38" s="27">
        <f>14*50/10*10^4/10^6</f>
        <v>0.7</v>
      </c>
      <c r="G38" s="17">
        <f t="shared" si="10"/>
        <v>0.92090395480225995</v>
      </c>
      <c r="H38" s="19">
        <f t="shared" si="13"/>
        <v>1639.08</v>
      </c>
      <c r="I38">
        <f t="shared" si="19"/>
        <v>-1.0357668798252026E-2</v>
      </c>
      <c r="K38">
        <v>1.7010000000000001</v>
      </c>
      <c r="L38" s="14">
        <f t="shared" si="14"/>
        <v>49.39257016488186</v>
      </c>
      <c r="M38" s="14"/>
      <c r="N38" s="13">
        <v>11</v>
      </c>
      <c r="O38">
        <f t="shared" si="15"/>
        <v>264</v>
      </c>
      <c r="P38" s="19">
        <f>185*50/10*10^4/10^6</f>
        <v>9.25</v>
      </c>
      <c r="Q38" s="27">
        <f>30*40/10*10^4/10^6</f>
        <v>1.2</v>
      </c>
      <c r="R38" s="17">
        <f>P38/SUM(P38:Q38)</f>
        <v>0.8851674641148326</v>
      </c>
      <c r="S38" s="19">
        <f>((P38+P37))/2*(O38-O37)+S37</f>
        <v>1384.3440000000001</v>
      </c>
      <c r="T38">
        <f t="shared" si="17"/>
        <v>-5.8723475262958402E-3</v>
      </c>
      <c r="V38" s="25">
        <v>1.6890000000000001</v>
      </c>
      <c r="W38" s="14">
        <f t="shared" si="18"/>
        <v>36.542779749349535</v>
      </c>
    </row>
    <row r="39" spans="1:23" x14ac:dyDescent="0.25">
      <c r="A39">
        <v>32.5</v>
      </c>
      <c r="B39">
        <v>1</v>
      </c>
      <c r="C39" s="13">
        <v>12</v>
      </c>
      <c r="D39">
        <f t="shared" si="12"/>
        <v>288</v>
      </c>
      <c r="E39" s="19">
        <f>150*50/10*10^4/10^6</f>
        <v>7.5</v>
      </c>
      <c r="F39" s="27">
        <f>12*50/10*10^4/10^6</f>
        <v>0.6</v>
      </c>
      <c r="G39" s="17">
        <f t="shared" si="10"/>
        <v>0.92592592592592593</v>
      </c>
      <c r="H39" s="19">
        <f t="shared" si="13"/>
        <v>1826.8799999999999</v>
      </c>
      <c r="I39">
        <f>(LN(E39)-LN(E38))/(D39-D38)</f>
        <v>-3.4631211129377837E-3</v>
      </c>
      <c r="K39">
        <v>1.75</v>
      </c>
      <c r="L39" s="14">
        <f t="shared" si="14"/>
        <v>6.2655852750997321</v>
      </c>
      <c r="M39" s="14"/>
      <c r="N39" s="13">
        <v>12</v>
      </c>
      <c r="O39">
        <f t="shared" si="15"/>
        <v>288</v>
      </c>
      <c r="P39" s="19">
        <f>180*40/10*10^4/10^6</f>
        <v>7.2</v>
      </c>
      <c r="Q39" s="27">
        <f>23*40/10*10^4/10^6</f>
        <v>0.92</v>
      </c>
      <c r="R39" s="17">
        <f>P39/SUM(P39:Q39)</f>
        <v>0.88669950738916248</v>
      </c>
      <c r="S39" s="19">
        <f t="shared" si="16"/>
        <v>1581.7440000000001</v>
      </c>
      <c r="T39">
        <f t="shared" si="17"/>
        <v>-1.0439271895930182E-2</v>
      </c>
      <c r="V39" s="25">
        <v>2</v>
      </c>
      <c r="W39" s="14">
        <f t="shared" si="18"/>
        <v>38.009134356694084</v>
      </c>
    </row>
    <row r="40" spans="1:23" x14ac:dyDescent="0.25">
      <c r="A40">
        <v>32.5</v>
      </c>
      <c r="B40">
        <v>0</v>
      </c>
      <c r="C40" s="13">
        <v>13</v>
      </c>
      <c r="D40">
        <f t="shared" si="12"/>
        <v>312</v>
      </c>
      <c r="E40" s="19">
        <f>140*50/10*10^4/10^6</f>
        <v>7</v>
      </c>
      <c r="F40" s="27">
        <f>31*50/10*10^4/10^6</f>
        <v>1.55</v>
      </c>
      <c r="G40" s="17">
        <f t="shared" si="10"/>
        <v>0.81871345029239762</v>
      </c>
      <c r="H40" s="19">
        <f t="shared" si="13"/>
        <v>2000.8799999999999</v>
      </c>
      <c r="I40">
        <f t="shared" si="19"/>
        <v>-2.8747029786229763E-3</v>
      </c>
      <c r="K40">
        <v>1.7949999999999999</v>
      </c>
      <c r="L40" s="14">
        <f t="shared" si="14"/>
        <v>6.2093584338256189</v>
      </c>
      <c r="M40" s="14"/>
      <c r="N40" s="13">
        <v>13</v>
      </c>
      <c r="O40">
        <f t="shared" si="15"/>
        <v>312</v>
      </c>
      <c r="P40" s="19">
        <f>170*40/10*10^4/10^6</f>
        <v>6.8</v>
      </c>
      <c r="Q40" s="27">
        <f>39*40/10*10^4/10^6</f>
        <v>1.56</v>
      </c>
      <c r="R40" s="17">
        <f>P40/SUM(P40:Q40)</f>
        <v>0.8133971291866029</v>
      </c>
      <c r="S40" s="19">
        <f t="shared" si="16"/>
        <v>1749.7440000000001</v>
      </c>
      <c r="T40">
        <f t="shared" si="17"/>
        <v>-2.3816005766645241E-3</v>
      </c>
      <c r="V40" s="25">
        <v>2.0609999999999999</v>
      </c>
      <c r="W40" s="14">
        <f t="shared" si="18"/>
        <v>8.7166581105921424</v>
      </c>
    </row>
    <row r="41" spans="1:23" ht="16.5" thickBot="1" x14ac:dyDescent="0.3">
      <c r="A41">
        <v>32.5</v>
      </c>
      <c r="B41">
        <v>0</v>
      </c>
      <c r="C41" s="20">
        <v>14</v>
      </c>
      <c r="D41" s="21">
        <f t="shared" si="12"/>
        <v>336</v>
      </c>
      <c r="E41" s="24">
        <f>160*40/10*10^4/10^6</f>
        <v>6.4</v>
      </c>
      <c r="F41" s="28">
        <f>40*40/10*10^4/10^6</f>
        <v>1.6</v>
      </c>
      <c r="G41" s="23">
        <f t="shared" si="10"/>
        <v>0.8</v>
      </c>
      <c r="H41" s="24">
        <f t="shared" si="13"/>
        <v>2161.6799999999998</v>
      </c>
      <c r="I41" s="21">
        <f t="shared" si="19"/>
        <v>-3.733839945403624E-3</v>
      </c>
      <c r="J41" s="21"/>
      <c r="K41" s="21">
        <v>1.77</v>
      </c>
      <c r="L41" s="22">
        <f t="shared" si="14"/>
        <v>-3.7338399454036133</v>
      </c>
      <c r="M41" s="22"/>
      <c r="N41" s="20">
        <v>14</v>
      </c>
      <c r="O41" s="21">
        <f t="shared" si="15"/>
        <v>336</v>
      </c>
      <c r="P41" s="24">
        <f>173*40/10*10^4/10^6</f>
        <v>6.92</v>
      </c>
      <c r="Q41" s="28">
        <f>44*40/10*10^4/10^6</f>
        <v>1.76</v>
      </c>
      <c r="R41" s="23">
        <f t="shared" si="11"/>
        <v>0.79723502304147464</v>
      </c>
      <c r="S41" s="24">
        <f t="shared" si="16"/>
        <v>1914.384</v>
      </c>
      <c r="T41" s="21">
        <f t="shared" si="17"/>
        <v>7.2888156031321782E-4</v>
      </c>
      <c r="U41" s="21"/>
      <c r="V41" s="21">
        <v>1.9179999999999999</v>
      </c>
      <c r="W41" s="22">
        <f t="shared" si="18"/>
        <v>-20.846012624958014</v>
      </c>
    </row>
    <row r="42" spans="1:23" x14ac:dyDescent="0.25">
      <c r="E42" s="19"/>
      <c r="F42" s="27"/>
      <c r="G42" s="17"/>
      <c r="H42" s="19"/>
      <c r="L42" s="14"/>
      <c r="P42" s="19"/>
      <c r="Q42" s="27"/>
      <c r="R42" s="17"/>
      <c r="S42" s="19"/>
      <c r="W42" s="14"/>
    </row>
    <row r="43" spans="1:23" x14ac:dyDescent="0.25">
      <c r="E43" s="42"/>
      <c r="J43" s="42"/>
      <c r="K43" s="42"/>
      <c r="L43" s="42"/>
      <c r="M43" s="42"/>
      <c r="N43" s="42"/>
      <c r="O43" s="42"/>
      <c r="P43" s="42"/>
      <c r="Q43" s="27"/>
      <c r="R43" s="17"/>
      <c r="S43" s="19"/>
      <c r="U43" s="42"/>
      <c r="V43" s="42"/>
      <c r="W43" s="42"/>
    </row>
    <row r="44" spans="1:23" x14ac:dyDescent="0.25">
      <c r="E44" s="42"/>
      <c r="J44" s="42"/>
      <c r="K44" s="42"/>
      <c r="L44" s="42"/>
      <c r="M44" s="42"/>
      <c r="N44" s="42"/>
      <c r="O44" s="42"/>
      <c r="P44" s="42"/>
      <c r="Q44" s="27"/>
      <c r="R44" s="17"/>
      <c r="S44" s="19"/>
      <c r="U44" s="42"/>
      <c r="V44" s="42"/>
      <c r="W44" s="42"/>
    </row>
    <row r="45" spans="1:23" ht="16.5" thickBot="1" x14ac:dyDescent="0.3">
      <c r="K45" s="42"/>
      <c r="L45" s="42"/>
      <c r="M45" s="42"/>
      <c r="N45" s="42"/>
      <c r="O45" s="42"/>
      <c r="P45" s="42"/>
      <c r="Q45" s="27"/>
      <c r="R45" s="17"/>
      <c r="S45" s="19"/>
      <c r="U45" s="42"/>
      <c r="V45" s="42"/>
      <c r="W45" s="42"/>
    </row>
    <row r="46" spans="1:23" ht="16.5" thickBot="1" x14ac:dyDescent="0.3">
      <c r="C46" s="68" t="s">
        <v>39</v>
      </c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70"/>
    </row>
    <row r="47" spans="1:23" x14ac:dyDescent="0.25">
      <c r="C47" s="13">
        <v>1</v>
      </c>
      <c r="K47" t="s">
        <v>24</v>
      </c>
      <c r="L47" s="14"/>
      <c r="N47" s="13">
        <v>2</v>
      </c>
      <c r="V47" t="s">
        <v>24</v>
      </c>
      <c r="W47" s="14"/>
    </row>
    <row r="48" spans="1:23" ht="68.099999999999994" customHeight="1" x14ac:dyDescent="0.25">
      <c r="A48" t="s">
        <v>17</v>
      </c>
      <c r="B48" t="s">
        <v>11</v>
      </c>
      <c r="C48" s="13" t="s">
        <v>9</v>
      </c>
      <c r="E48" s="25" t="s">
        <v>29</v>
      </c>
      <c r="F48" t="s">
        <v>23</v>
      </c>
      <c r="G48" t="s">
        <v>22</v>
      </c>
      <c r="H48" s="15" t="s">
        <v>27</v>
      </c>
      <c r="I48" s="16" t="s">
        <v>28</v>
      </c>
      <c r="J48" s="16"/>
      <c r="K48" s="25" t="s">
        <v>25</v>
      </c>
      <c r="L48" s="26" t="s">
        <v>26</v>
      </c>
      <c r="N48" s="13" t="s">
        <v>9</v>
      </c>
      <c r="P48" s="25" t="s">
        <v>29</v>
      </c>
      <c r="Q48" t="s">
        <v>23</v>
      </c>
      <c r="R48" t="s">
        <v>22</v>
      </c>
      <c r="S48" s="15" t="s">
        <v>27</v>
      </c>
      <c r="T48" s="16" t="s">
        <v>28</v>
      </c>
      <c r="U48" s="16"/>
      <c r="V48" s="25" t="s">
        <v>25</v>
      </c>
      <c r="W48" s="26" t="s">
        <v>26</v>
      </c>
    </row>
    <row r="49" spans="1:23" x14ac:dyDescent="0.25">
      <c r="A49">
        <v>36.5</v>
      </c>
      <c r="B49">
        <v>0</v>
      </c>
      <c r="C49" s="13">
        <v>0</v>
      </c>
      <c r="D49">
        <f>C49*24</f>
        <v>0</v>
      </c>
      <c r="E49" s="19">
        <f>2*10^5/10^6</f>
        <v>0.2</v>
      </c>
      <c r="F49" s="27">
        <v>0</v>
      </c>
      <c r="G49" s="17">
        <f>E49/SUM(E49:F49)</f>
        <v>1</v>
      </c>
      <c r="H49" s="18">
        <v>0</v>
      </c>
      <c r="I49">
        <v>0</v>
      </c>
      <c r="K49">
        <v>1.4536209E-3</v>
      </c>
      <c r="L49" s="14"/>
      <c r="N49" s="13">
        <v>0</v>
      </c>
      <c r="O49">
        <f>N49*24</f>
        <v>0</v>
      </c>
      <c r="P49" s="19">
        <f>2*10^5/10^6</f>
        <v>0.2</v>
      </c>
      <c r="Q49" s="27">
        <v>0</v>
      </c>
      <c r="R49" s="17">
        <f>P49/SUM(P49:Q49)</f>
        <v>1</v>
      </c>
      <c r="S49" s="18">
        <v>0</v>
      </c>
      <c r="T49">
        <v>0</v>
      </c>
      <c r="V49">
        <v>3.5362089999999998E-3</v>
      </c>
      <c r="W49" s="14"/>
    </row>
    <row r="50" spans="1:23" x14ac:dyDescent="0.25">
      <c r="A50">
        <v>36.5</v>
      </c>
      <c r="B50">
        <v>0</v>
      </c>
      <c r="C50" s="13">
        <v>1</v>
      </c>
      <c r="D50">
        <f>C50*24</f>
        <v>24</v>
      </c>
      <c r="E50" s="19">
        <f>99*4/10*10^4/10^6</f>
        <v>0.39600000000000002</v>
      </c>
      <c r="F50" s="27">
        <f>2*4/10*10^4/10^6</f>
        <v>8.0000000000000002E-3</v>
      </c>
      <c r="G50" s="17">
        <f t="shared" ref="G50:G63" si="20">E50/SUM(E50:F50)</f>
        <v>0.98019801980198018</v>
      </c>
      <c r="H50" s="19">
        <f>((E50+E49))/2*(D50-D49)+H49</f>
        <v>7.152000000000001</v>
      </c>
      <c r="I50">
        <f>(LN(E50)-LN(E49))/(D50-D49)</f>
        <v>2.8462368529435161E-2</v>
      </c>
      <c r="K50">
        <v>1.206E-2</v>
      </c>
      <c r="L50" s="14">
        <f>((K50-K49)/(E50-E49))*I50*24000</f>
        <v>36.965224984542708</v>
      </c>
      <c r="N50" s="13">
        <v>1</v>
      </c>
      <c r="O50">
        <f>N50*24</f>
        <v>24</v>
      </c>
      <c r="P50" s="19">
        <f>99*4/10*10^4/10^6</f>
        <v>0.39600000000000002</v>
      </c>
      <c r="Q50" s="27">
        <f>1*4/10*10^4/10^6</f>
        <v>4.0000000000000001E-3</v>
      </c>
      <c r="R50" s="17">
        <f t="shared" ref="R50:R63" si="21">P50/SUM(P50:Q50)</f>
        <v>0.99</v>
      </c>
      <c r="S50" s="19">
        <f>((P50+P49))/2*(O50-O49)+S49</f>
        <v>7.152000000000001</v>
      </c>
      <c r="T50">
        <f>(LN(P50)-LN(P49))/(O50-O49)</f>
        <v>2.8462368529435161E-2</v>
      </c>
      <c r="V50">
        <v>1.223E-2</v>
      </c>
      <c r="W50" s="14">
        <f>((V50-V49)/(P50-P49))*T50*24000</f>
        <v>30.299495921618771</v>
      </c>
    </row>
    <row r="51" spans="1:23" x14ac:dyDescent="0.25">
      <c r="A51">
        <v>36.5</v>
      </c>
      <c r="B51">
        <v>1</v>
      </c>
      <c r="C51" s="13">
        <v>2</v>
      </c>
      <c r="D51">
        <f t="shared" ref="D51:D63" si="22">C51*24</f>
        <v>48</v>
      </c>
      <c r="E51" s="19">
        <f>93*8/10*10^4/10^6</f>
        <v>0.74399999999999999</v>
      </c>
      <c r="F51" s="27">
        <f>5*8/10*10^4/10^6</f>
        <v>0.04</v>
      </c>
      <c r="G51" s="17">
        <f t="shared" si="20"/>
        <v>0.94897959183673464</v>
      </c>
      <c r="H51" s="19">
        <f t="shared" ref="H51:H63" si="23">((E51+E50))/2*(D51-D50)+H50</f>
        <v>20.832000000000001</v>
      </c>
      <c r="I51">
        <f>(LN(E51)-LN(E50))/(D51-D50)</f>
        <v>2.62761176491088E-2</v>
      </c>
      <c r="K51">
        <v>2.3980000000000001E-2</v>
      </c>
      <c r="L51" s="14">
        <f t="shared" ref="L51:L63" si="24">((K51-K50)/(E51-E50))*I51*24000</f>
        <v>21.600780853612203</v>
      </c>
      <c r="N51" s="13">
        <v>2</v>
      </c>
      <c r="O51">
        <f t="shared" ref="O51:O63" si="25">N51*24</f>
        <v>48</v>
      </c>
      <c r="P51" s="19">
        <f>77*8/10*10^4/10^6</f>
        <v>0.61599999999999999</v>
      </c>
      <c r="Q51" s="27">
        <f>4*8/10*10^4/10^6</f>
        <v>3.2000000000000001E-2</v>
      </c>
      <c r="R51" s="17">
        <f t="shared" si="21"/>
        <v>0.95061728395061729</v>
      </c>
      <c r="S51" s="19">
        <f t="shared" ref="S51:S63" si="26">((P51+P50))/2*(O51-O50)+S50</f>
        <v>19.295999999999999</v>
      </c>
      <c r="T51">
        <f>(LN(P51)-LN(P50))/(O51-O50)</f>
        <v>1.8409698011626632E-2</v>
      </c>
      <c r="V51">
        <v>2.5309999999999999E-2</v>
      </c>
      <c r="W51" s="14">
        <f t="shared" ref="W51:W63" si="27">((V51-V50)/(P51-P50))*T51*24000</f>
        <v>26.268965453681059</v>
      </c>
    </row>
    <row r="52" spans="1:23" x14ac:dyDescent="0.25">
      <c r="A52">
        <v>36.5</v>
      </c>
      <c r="B52">
        <v>0</v>
      </c>
      <c r="C52" s="36">
        <v>3</v>
      </c>
      <c r="D52" s="37">
        <f t="shared" si="22"/>
        <v>72</v>
      </c>
      <c r="E52" s="38">
        <f>90*10/10*10^4/10^6</f>
        <v>0.9</v>
      </c>
      <c r="F52" s="38">
        <f>11*10/10*10^4/10^6</f>
        <v>0.11</v>
      </c>
      <c r="G52" s="39">
        <f t="shared" si="20"/>
        <v>0.8910891089108911</v>
      </c>
      <c r="H52" s="38">
        <f t="shared" si="23"/>
        <v>40.56</v>
      </c>
      <c r="I52" s="37">
        <f t="shared" ref="I52:I63" si="28">(LN(E52)-LN(E51))/(D52-D51)</f>
        <v>7.931405353800788E-3</v>
      </c>
      <c r="J52" s="37"/>
      <c r="K52" s="37">
        <v>6.2039999999999998E-2</v>
      </c>
      <c r="L52" s="40">
        <f t="shared" si="24"/>
        <v>46.441428887024294</v>
      </c>
      <c r="N52" s="36">
        <v>3</v>
      </c>
      <c r="O52" s="37">
        <f t="shared" si="25"/>
        <v>72</v>
      </c>
      <c r="P52" s="38">
        <f>97*10/10*10^4/10^6</f>
        <v>0.97</v>
      </c>
      <c r="Q52" s="38">
        <f>5*10/10*10^4/10^6</f>
        <v>0.05</v>
      </c>
      <c r="R52" s="39">
        <f t="shared" si="21"/>
        <v>0.9509803921568627</v>
      </c>
      <c r="S52" s="38">
        <f t="shared" si="26"/>
        <v>38.327999999999996</v>
      </c>
      <c r="T52" s="37">
        <f t="shared" ref="T52:T63" si="29">(LN(P52)-LN(P51))/(O52-O51)</f>
        <v>1.891871283182953E-2</v>
      </c>
      <c r="U52" s="37"/>
      <c r="V52" s="37">
        <v>5.3100000000000001E-2</v>
      </c>
      <c r="W52" s="40">
        <f t="shared" si="27"/>
        <v>35.644137599765607</v>
      </c>
    </row>
    <row r="53" spans="1:23" x14ac:dyDescent="0.25">
      <c r="A53">
        <v>32.5</v>
      </c>
      <c r="B53">
        <v>1</v>
      </c>
      <c r="C53" s="36">
        <v>4</v>
      </c>
      <c r="D53" s="37">
        <f t="shared" si="22"/>
        <v>96</v>
      </c>
      <c r="E53" s="38">
        <f>228*14/10*10^4/10^6</f>
        <v>3.1920000000000002</v>
      </c>
      <c r="F53" s="38">
        <f>3*14/10*10^4/10^6</f>
        <v>4.2000000000000003E-2</v>
      </c>
      <c r="G53" s="39">
        <f t="shared" si="20"/>
        <v>0.98701298701298712</v>
      </c>
      <c r="H53" s="38">
        <f t="shared" si="23"/>
        <v>89.664000000000016</v>
      </c>
      <c r="I53" s="37">
        <f t="shared" si="28"/>
        <v>5.2750341468557865E-2</v>
      </c>
      <c r="J53" s="37"/>
      <c r="K53" s="37">
        <v>0.121</v>
      </c>
      <c r="L53" s="40">
        <f t="shared" si="24"/>
        <v>32.567121811373525</v>
      </c>
      <c r="N53" s="36">
        <v>4</v>
      </c>
      <c r="O53" s="37">
        <f t="shared" si="25"/>
        <v>96</v>
      </c>
      <c r="P53" s="38">
        <f>126*20/10*10^4/10^6</f>
        <v>2.52</v>
      </c>
      <c r="Q53" s="38">
        <f>3*20/10*10^4/10^6</f>
        <v>0.06</v>
      </c>
      <c r="R53" s="39">
        <f t="shared" si="21"/>
        <v>0.97674418604651159</v>
      </c>
      <c r="S53" s="38">
        <f t="shared" si="26"/>
        <v>80.207999999999998</v>
      </c>
      <c r="T53" s="37">
        <f t="shared" si="29"/>
        <v>3.9779921208668349E-2</v>
      </c>
      <c r="U53" s="37"/>
      <c r="V53" s="37">
        <v>0.14050000000000001</v>
      </c>
      <c r="W53" s="40">
        <f t="shared" si="27"/>
        <v>53.833782404711435</v>
      </c>
    </row>
    <row r="54" spans="1:23" x14ac:dyDescent="0.25">
      <c r="A54">
        <v>32.5</v>
      </c>
      <c r="B54">
        <v>0</v>
      </c>
      <c r="C54" s="36">
        <v>5</v>
      </c>
      <c r="D54" s="37">
        <f t="shared" si="22"/>
        <v>120</v>
      </c>
      <c r="E54" s="38">
        <f>179*24/10*10^4/10^6</f>
        <v>4.2960000000000003</v>
      </c>
      <c r="F54" s="38">
        <f>5*5/10*10^4/10^6</f>
        <v>2.5000000000000001E-2</v>
      </c>
      <c r="G54" s="39">
        <f t="shared" si="20"/>
        <v>0.99421430224485063</v>
      </c>
      <c r="H54" s="38">
        <f t="shared" si="23"/>
        <v>179.52000000000004</v>
      </c>
      <c r="I54" s="37">
        <f t="shared" si="28"/>
        <v>1.237652823412505E-2</v>
      </c>
      <c r="J54" s="37"/>
      <c r="K54" s="37">
        <v>0.1958</v>
      </c>
      <c r="L54" s="40">
        <f t="shared" si="24"/>
        <v>20.125311128533774</v>
      </c>
      <c r="N54" s="36">
        <v>5</v>
      </c>
      <c r="O54" s="37">
        <f t="shared" si="25"/>
        <v>120</v>
      </c>
      <c r="P54" s="38">
        <f>141*28/10*10^4/10^6</f>
        <v>3.948</v>
      </c>
      <c r="Q54" s="38">
        <f>3*28/10*10^4/10^6</f>
        <v>8.4000000000000005E-2</v>
      </c>
      <c r="R54" s="39">
        <f t="shared" si="21"/>
        <v>0.97916666666666663</v>
      </c>
      <c r="S54" s="38">
        <f t="shared" si="26"/>
        <v>157.82400000000001</v>
      </c>
      <c r="T54" s="37">
        <f t="shared" si="29"/>
        <v>1.8706259168662639E-2</v>
      </c>
      <c r="U54" s="37"/>
      <c r="V54" s="37">
        <v>0.18340000000000001</v>
      </c>
      <c r="W54" s="40">
        <f t="shared" si="27"/>
        <v>13.487370056060959</v>
      </c>
    </row>
    <row r="55" spans="1:23" x14ac:dyDescent="0.25">
      <c r="A55">
        <v>32.5</v>
      </c>
      <c r="B55">
        <v>1</v>
      </c>
      <c r="C55" s="36">
        <v>6</v>
      </c>
      <c r="D55" s="37">
        <f t="shared" si="22"/>
        <v>144</v>
      </c>
      <c r="E55" s="38">
        <f>205*32/10*10^4/10^6</f>
        <v>6.56</v>
      </c>
      <c r="F55" s="38">
        <f>0*10/10*10^4/10^6</f>
        <v>0</v>
      </c>
      <c r="G55" s="39">
        <f t="shared" si="20"/>
        <v>1</v>
      </c>
      <c r="H55" s="38">
        <f t="shared" si="23"/>
        <v>309.79200000000003</v>
      </c>
      <c r="I55" s="37">
        <f t="shared" si="28"/>
        <v>1.7637760239559746E-2</v>
      </c>
      <c r="J55" s="37"/>
      <c r="K55" s="37">
        <v>0.45689999999999997</v>
      </c>
      <c r="L55" s="40">
        <f t="shared" si="24"/>
        <v>48.818578076491711</v>
      </c>
      <c r="N55" s="36">
        <v>6</v>
      </c>
      <c r="O55" s="37">
        <f t="shared" si="25"/>
        <v>144</v>
      </c>
      <c r="P55" s="38">
        <f>152*32/10*10^4/10^6</f>
        <v>4.8639999999999999</v>
      </c>
      <c r="Q55" s="38">
        <f>0*10/10*10^4/10^6</f>
        <v>0</v>
      </c>
      <c r="R55" s="39">
        <f t="shared" si="21"/>
        <v>1</v>
      </c>
      <c r="S55" s="38">
        <f t="shared" si="26"/>
        <v>263.56799999999998</v>
      </c>
      <c r="T55" s="37">
        <f t="shared" si="29"/>
        <v>8.6938342955262815E-3</v>
      </c>
      <c r="U55" s="37"/>
      <c r="V55" s="37">
        <v>0.41970000000000002</v>
      </c>
      <c r="W55" s="40">
        <f t="shared" si="27"/>
        <v>53.825843948459223</v>
      </c>
    </row>
    <row r="56" spans="1:23" x14ac:dyDescent="0.25">
      <c r="A56">
        <v>32.5</v>
      </c>
      <c r="B56">
        <v>0</v>
      </c>
      <c r="C56" s="36">
        <v>7</v>
      </c>
      <c r="D56" s="37">
        <f t="shared" si="22"/>
        <v>168</v>
      </c>
      <c r="E56" s="38">
        <f>175*40/10*10^4/10^6</f>
        <v>7</v>
      </c>
      <c r="F56" s="38">
        <f>0*10/10*10^4/10^6</f>
        <v>0</v>
      </c>
      <c r="G56" s="39">
        <f t="shared" si="20"/>
        <v>1</v>
      </c>
      <c r="H56" s="38">
        <f t="shared" si="23"/>
        <v>472.512</v>
      </c>
      <c r="I56" s="37">
        <f t="shared" si="28"/>
        <v>2.7049810874714884E-3</v>
      </c>
      <c r="J56" s="37"/>
      <c r="K56" s="37">
        <v>0.5363</v>
      </c>
      <c r="L56" s="40">
        <f t="shared" si="24"/>
        <v>11.71502718246742</v>
      </c>
      <c r="N56" s="36">
        <v>7</v>
      </c>
      <c r="O56" s="37">
        <f t="shared" si="25"/>
        <v>168</v>
      </c>
      <c r="P56" s="38">
        <f>213*40/10*10^4/10^6</f>
        <v>8.52</v>
      </c>
      <c r="Q56" s="38">
        <f>0*10/10*10^4/10^6</f>
        <v>0</v>
      </c>
      <c r="R56" s="39">
        <f t="shared" si="21"/>
        <v>1</v>
      </c>
      <c r="S56" s="38">
        <f t="shared" si="26"/>
        <v>424.17599999999999</v>
      </c>
      <c r="T56" s="37">
        <f t="shared" si="29"/>
        <v>2.3356466507389938E-2</v>
      </c>
      <c r="U56" s="37"/>
      <c r="V56" s="37">
        <v>0.62560000000000004</v>
      </c>
      <c r="W56" s="40">
        <f t="shared" si="27"/>
        <v>31.569560966334283</v>
      </c>
    </row>
    <row r="57" spans="1:23" x14ac:dyDescent="0.25">
      <c r="A57">
        <v>32.5</v>
      </c>
      <c r="B57">
        <v>1</v>
      </c>
      <c r="C57" s="36">
        <v>8</v>
      </c>
      <c r="D57" s="37">
        <f t="shared" si="22"/>
        <v>192</v>
      </c>
      <c r="E57" s="38">
        <f>259*40/10*10^4/10^6</f>
        <v>10.36</v>
      </c>
      <c r="F57" s="38">
        <f>0*10/10*10^4/10^6</f>
        <v>0</v>
      </c>
      <c r="G57" s="39">
        <f t="shared" si="20"/>
        <v>1</v>
      </c>
      <c r="H57" s="38">
        <f t="shared" si="23"/>
        <v>680.83199999999999</v>
      </c>
      <c r="I57" s="37">
        <f t="shared" si="28"/>
        <v>1.6335086990667647E-2</v>
      </c>
      <c r="J57" s="37"/>
      <c r="K57" s="37">
        <v>0.76149999999999995</v>
      </c>
      <c r="L57" s="40">
        <f t="shared" si="24"/>
        <v>26.276154216416817</v>
      </c>
      <c r="N57" s="13">
        <v>8</v>
      </c>
      <c r="O57">
        <f t="shared" si="25"/>
        <v>192</v>
      </c>
      <c r="P57" s="19">
        <f>231*40/10*10^4/10^6</f>
        <v>9.24</v>
      </c>
      <c r="Q57" s="27">
        <f>0*10/10*10^4/10^6</f>
        <v>0</v>
      </c>
      <c r="R57" s="17">
        <f t="shared" si="21"/>
        <v>1</v>
      </c>
      <c r="S57" s="19">
        <f t="shared" si="26"/>
        <v>637.29599999999994</v>
      </c>
      <c r="T57">
        <f t="shared" si="29"/>
        <v>3.3802310338486761E-3</v>
      </c>
      <c r="V57" s="25">
        <v>0.70430000000000004</v>
      </c>
      <c r="W57" s="14">
        <f t="shared" si="27"/>
        <v>8.8674727454630187</v>
      </c>
    </row>
    <row r="58" spans="1:23" x14ac:dyDescent="0.25">
      <c r="A58">
        <v>32.5</v>
      </c>
      <c r="B58">
        <v>0</v>
      </c>
      <c r="C58" s="13">
        <v>9</v>
      </c>
      <c r="D58">
        <f t="shared" si="22"/>
        <v>216</v>
      </c>
      <c r="E58" s="19">
        <f>230*40/10*10^4/10^6</f>
        <v>9.1999999999999993</v>
      </c>
      <c r="F58" s="27">
        <f>10*40/10*10^4/10^6</f>
        <v>0.4</v>
      </c>
      <c r="G58" s="17">
        <f t="shared" si="20"/>
        <v>0.95833333333333326</v>
      </c>
      <c r="H58" s="19">
        <f t="shared" si="23"/>
        <v>915.55199999999991</v>
      </c>
      <c r="I58">
        <f t="shared" si="28"/>
        <v>-4.9478646990142594E-3</v>
      </c>
      <c r="K58">
        <v>1.036</v>
      </c>
      <c r="L58" s="14">
        <f t="shared" si="24"/>
        <v>28.100459169918921</v>
      </c>
      <c r="N58" s="13">
        <v>9</v>
      </c>
      <c r="O58">
        <f t="shared" si="25"/>
        <v>216</v>
      </c>
      <c r="P58" s="19">
        <f>259*40/10*10^4/10^6</f>
        <v>10.36</v>
      </c>
      <c r="Q58" s="27">
        <f>12*40/10*10^4/10^6</f>
        <v>0.48</v>
      </c>
      <c r="R58" s="17">
        <f t="shared" si="21"/>
        <v>0.95571955719557189</v>
      </c>
      <c r="S58" s="19">
        <f t="shared" si="26"/>
        <v>872.49599999999998</v>
      </c>
      <c r="T58">
        <f t="shared" si="29"/>
        <v>4.767097965739338E-3</v>
      </c>
      <c r="V58" s="25">
        <v>0.78349999999999997</v>
      </c>
      <c r="W58" s="14">
        <f t="shared" si="27"/>
        <v>8.0904462618547619</v>
      </c>
    </row>
    <row r="59" spans="1:23" x14ac:dyDescent="0.25">
      <c r="A59">
        <v>32.5</v>
      </c>
      <c r="B59">
        <v>1</v>
      </c>
      <c r="C59" s="13">
        <v>10</v>
      </c>
      <c r="D59">
        <f t="shared" si="22"/>
        <v>240</v>
      </c>
      <c r="E59" s="19">
        <f>256*40/10*10^4/10^6</f>
        <v>10.24</v>
      </c>
      <c r="F59" s="27">
        <f>14*40/10*10^4/10^6</f>
        <v>0.56000000000000005</v>
      </c>
      <c r="G59" s="17">
        <f t="shared" si="20"/>
        <v>0.94814814814814807</v>
      </c>
      <c r="H59" s="19">
        <f t="shared" si="23"/>
        <v>1148.8319999999999</v>
      </c>
      <c r="I59">
        <f t="shared" si="28"/>
        <v>4.4624223148486313E-3</v>
      </c>
      <c r="K59">
        <v>1.6359999999999999</v>
      </c>
      <c r="L59" s="14">
        <f t="shared" si="24"/>
        <v>61.787385897904066</v>
      </c>
      <c r="N59" s="13">
        <v>10</v>
      </c>
      <c r="O59">
        <f t="shared" si="25"/>
        <v>240</v>
      </c>
      <c r="P59" s="19">
        <f>195*40/10*10^4/10^6</f>
        <v>7.8</v>
      </c>
      <c r="Q59" s="27">
        <f>26*40/10*10^4/10^6</f>
        <v>1.04</v>
      </c>
      <c r="R59" s="17">
        <f t="shared" si="21"/>
        <v>0.88235294117647056</v>
      </c>
      <c r="S59" s="19">
        <f t="shared" si="26"/>
        <v>1090.4159999999999</v>
      </c>
      <c r="T59">
        <f t="shared" si="29"/>
        <v>-1.1826187630657939E-2</v>
      </c>
      <c r="V59" s="25">
        <v>1.3572</v>
      </c>
      <c r="W59" s="14">
        <f t="shared" si="27"/>
        <v>63.606411034766815</v>
      </c>
    </row>
    <row r="60" spans="1:23" x14ac:dyDescent="0.25">
      <c r="A60">
        <v>32.5</v>
      </c>
      <c r="B60">
        <v>0</v>
      </c>
      <c r="C60" s="13">
        <v>11</v>
      </c>
      <c r="D60">
        <f t="shared" si="22"/>
        <v>264</v>
      </c>
      <c r="E60" s="19">
        <f>170*40/10*10^4/10^6</f>
        <v>6.8</v>
      </c>
      <c r="F60" s="27">
        <f>34*40/10*10^4/10^6</f>
        <v>1.36</v>
      </c>
      <c r="G60" s="17">
        <f t="shared" si="20"/>
        <v>0.83333333333333326</v>
      </c>
      <c r="H60" s="19">
        <f t="shared" si="23"/>
        <v>1353.3119999999999</v>
      </c>
      <c r="I60">
        <f t="shared" si="28"/>
        <v>-1.7057458642887529E-2</v>
      </c>
      <c r="K60">
        <v>1.9159999999999999</v>
      </c>
      <c r="L60" s="14">
        <f t="shared" si="24"/>
        <v>33.321547116338422</v>
      </c>
      <c r="N60" s="13">
        <v>11</v>
      </c>
      <c r="O60">
        <f t="shared" si="25"/>
        <v>264</v>
      </c>
      <c r="P60" s="19">
        <f>174*40/10*10^4/10^6</f>
        <v>6.96</v>
      </c>
      <c r="Q60" s="27">
        <f>40*40/10*10^4/10^6</f>
        <v>1.6</v>
      </c>
      <c r="R60" s="17">
        <f t="shared" si="21"/>
        <v>0.81308411214953269</v>
      </c>
      <c r="S60" s="19">
        <f t="shared" si="26"/>
        <v>1267.5360000000001</v>
      </c>
      <c r="T60">
        <f t="shared" si="29"/>
        <v>-4.7476774728840805E-3</v>
      </c>
      <c r="V60" s="25">
        <v>1.784</v>
      </c>
      <c r="W60" s="14">
        <f t="shared" si="27"/>
        <v>57.894535583626464</v>
      </c>
    </row>
    <row r="61" spans="1:23" x14ac:dyDescent="0.25">
      <c r="A61">
        <v>32.5</v>
      </c>
      <c r="B61">
        <v>1</v>
      </c>
      <c r="C61" s="13">
        <v>12</v>
      </c>
      <c r="D61">
        <f t="shared" si="22"/>
        <v>288</v>
      </c>
      <c r="E61" s="19">
        <f>212*40/10*10^4/10^6</f>
        <v>8.48</v>
      </c>
      <c r="F61" s="27">
        <f>11*40/10*10^4/10^6</f>
        <v>0.44</v>
      </c>
      <c r="G61" s="17">
        <f t="shared" si="20"/>
        <v>0.95067264573991039</v>
      </c>
      <c r="H61" s="19">
        <f t="shared" si="23"/>
        <v>1536.672</v>
      </c>
      <c r="I61">
        <f t="shared" si="28"/>
        <v>9.1994932342396116E-3</v>
      </c>
      <c r="K61">
        <v>2.4180000000000001</v>
      </c>
      <c r="L61" s="14">
        <f t="shared" si="24"/>
        <v>65.973508622689806</v>
      </c>
      <c r="N61" s="13">
        <v>12</v>
      </c>
      <c r="O61">
        <f t="shared" si="25"/>
        <v>288</v>
      </c>
      <c r="P61" s="19">
        <f>205*40/10*10^4/10^6</f>
        <v>8.1999999999999993</v>
      </c>
      <c r="Q61" s="27">
        <f>21*40/10*10^4/10^6</f>
        <v>0.84</v>
      </c>
      <c r="R61" s="17">
        <f t="shared" si="21"/>
        <v>0.90707964601769908</v>
      </c>
      <c r="S61" s="19">
        <f t="shared" si="26"/>
        <v>1449.4560000000001</v>
      </c>
      <c r="T61">
        <f t="shared" si="29"/>
        <v>6.8314449968282969E-3</v>
      </c>
      <c r="V61" s="25">
        <v>2.1968899999999998</v>
      </c>
      <c r="W61" s="14">
        <f t="shared" si="27"/>
        <v>54.59294176916972</v>
      </c>
    </row>
    <row r="62" spans="1:23" x14ac:dyDescent="0.25">
      <c r="A62">
        <v>32.5</v>
      </c>
      <c r="B62">
        <v>0</v>
      </c>
      <c r="C62" s="13">
        <v>13</v>
      </c>
      <c r="D62">
        <f t="shared" si="22"/>
        <v>312</v>
      </c>
      <c r="E62" s="19">
        <f>192*40/10*10^4/10^6</f>
        <v>7.68</v>
      </c>
      <c r="F62" s="27">
        <f>27*40/10*10^4/10^6</f>
        <v>1.08</v>
      </c>
      <c r="G62" s="17">
        <f t="shared" si="20"/>
        <v>0.87671232876712324</v>
      </c>
      <c r="H62" s="19">
        <f t="shared" si="23"/>
        <v>1730.5920000000001</v>
      </c>
      <c r="I62">
        <f t="shared" si="28"/>
        <v>-4.1287876101762837E-3</v>
      </c>
      <c r="K62">
        <v>2.6579999999999999</v>
      </c>
      <c r="L62" s="14">
        <f t="shared" si="24"/>
        <v>29.727270793269188</v>
      </c>
      <c r="N62" s="13">
        <v>13</v>
      </c>
      <c r="O62">
        <f t="shared" si="25"/>
        <v>312</v>
      </c>
      <c r="P62" s="19">
        <f>148*40/10*10^4/10^6</f>
        <v>5.92</v>
      </c>
      <c r="Q62" s="27">
        <f>14*40/10*10^4/10^6</f>
        <v>0.56000000000000005</v>
      </c>
      <c r="R62" s="17">
        <f t="shared" si="21"/>
        <v>0.9135802469135802</v>
      </c>
      <c r="S62" s="19">
        <f t="shared" si="26"/>
        <v>1618.8960000000002</v>
      </c>
      <c r="T62">
        <f t="shared" si="29"/>
        <v>-1.3574904390595546E-2</v>
      </c>
      <c r="V62" s="25">
        <v>2.5760000000000001</v>
      </c>
      <c r="W62" s="14">
        <f t="shared" si="27"/>
        <v>54.172442142301918</v>
      </c>
    </row>
    <row r="63" spans="1:23" ht="16.5" thickBot="1" x14ac:dyDescent="0.3">
      <c r="A63">
        <v>32.5</v>
      </c>
      <c r="B63">
        <v>0</v>
      </c>
      <c r="C63" s="20">
        <v>14</v>
      </c>
      <c r="D63" s="21">
        <f t="shared" si="22"/>
        <v>336</v>
      </c>
      <c r="E63" s="24">
        <f>144*40/10*10^4/10^6</f>
        <v>5.76</v>
      </c>
      <c r="F63" s="28">
        <f>48*40/10*10^4/10^6</f>
        <v>1.92</v>
      </c>
      <c r="G63" s="23">
        <f t="shared" si="20"/>
        <v>0.75</v>
      </c>
      <c r="H63" s="24">
        <f t="shared" si="23"/>
        <v>1891.8720000000001</v>
      </c>
      <c r="I63" s="21">
        <f t="shared" si="28"/>
        <v>-1.1986753018824209E-2</v>
      </c>
      <c r="J63" s="21"/>
      <c r="K63" s="21">
        <v>2.6019999999999999</v>
      </c>
      <c r="L63" s="22">
        <f t="shared" si="24"/>
        <v>-8.3907271131769541</v>
      </c>
      <c r="M63" s="21"/>
      <c r="N63" s="20">
        <v>14</v>
      </c>
      <c r="O63" s="24">
        <f t="shared" si="25"/>
        <v>336</v>
      </c>
      <c r="P63" s="28">
        <f>140*40/10*10^4/10^6</f>
        <v>5.6</v>
      </c>
      <c r="Q63" s="23">
        <f>30*40/10*10^4/10^6</f>
        <v>1.2</v>
      </c>
      <c r="R63" s="24">
        <f t="shared" si="21"/>
        <v>0.82352941176470584</v>
      </c>
      <c r="S63" s="24">
        <f t="shared" si="26"/>
        <v>1757.1360000000002</v>
      </c>
      <c r="T63" s="21">
        <f t="shared" si="29"/>
        <v>-2.3154104647837848E-3</v>
      </c>
      <c r="U63" s="21"/>
      <c r="V63" s="21">
        <v>2.722</v>
      </c>
      <c r="W63" s="22">
        <f t="shared" si="27"/>
        <v>25.353744589382405</v>
      </c>
    </row>
    <row r="64" spans="1:23" x14ac:dyDescent="0.25">
      <c r="E64" s="19"/>
      <c r="F64" s="27"/>
      <c r="G64" s="17"/>
      <c r="H64" s="19"/>
      <c r="L64" s="14"/>
      <c r="O64" s="19"/>
      <c r="P64" s="27"/>
      <c r="Q64" s="17"/>
      <c r="R64" s="19"/>
      <c r="S64" s="19"/>
      <c r="W64" s="14"/>
    </row>
    <row r="65" spans="5:23" x14ac:dyDescent="0.25">
      <c r="E65" s="42"/>
      <c r="J65" s="42"/>
      <c r="K65" s="42"/>
      <c r="L65" s="42"/>
      <c r="M65" s="42"/>
      <c r="N65" s="42"/>
      <c r="O65" s="42"/>
      <c r="P65" s="42"/>
      <c r="Q65" s="27"/>
      <c r="R65" s="17"/>
      <c r="S65" s="19"/>
      <c r="U65" s="42"/>
      <c r="V65" s="42"/>
      <c r="W65" s="42"/>
    </row>
    <row r="66" spans="5:23" x14ac:dyDescent="0.25">
      <c r="J66" s="42"/>
      <c r="K66" s="42"/>
      <c r="L66" s="42"/>
      <c r="M66" s="42"/>
      <c r="N66" s="42"/>
      <c r="O66" s="42"/>
      <c r="P66" s="42"/>
      <c r="Q66" s="27"/>
      <c r="R66" s="17"/>
      <c r="S66" s="19"/>
      <c r="U66" s="42"/>
      <c r="V66" s="42"/>
      <c r="W66" s="42"/>
    </row>
    <row r="67" spans="5:23" x14ac:dyDescent="0.25">
      <c r="L67" s="42"/>
      <c r="M67" s="42"/>
      <c r="N67" s="42"/>
      <c r="O67" s="42"/>
      <c r="P67" s="42"/>
      <c r="Q67" s="27"/>
      <c r="R67" s="17"/>
      <c r="S67" s="19"/>
      <c r="U67" s="42"/>
      <c r="V67" s="42"/>
      <c r="W67" s="42"/>
    </row>
    <row r="68" spans="5:23" x14ac:dyDescent="0.25">
      <c r="L68" s="42"/>
    </row>
  </sheetData>
  <mergeCells count="3">
    <mergeCell ref="C2:W2"/>
    <mergeCell ref="C24:W24"/>
    <mergeCell ref="C46:W4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V71"/>
  <sheetViews>
    <sheetView zoomScale="55" zoomScaleNormal="55" workbookViewId="0">
      <selection activeCell="AV18" sqref="AV18"/>
    </sheetView>
  </sheetViews>
  <sheetFormatPr defaultColWidth="8.875" defaultRowHeight="15.75" x14ac:dyDescent="0.25"/>
  <cols>
    <col min="3" max="3" width="12.625" bestFit="1" customWidth="1"/>
    <col min="4" max="4" width="11.625" bestFit="1" customWidth="1"/>
    <col min="5" max="5" width="10" customWidth="1"/>
    <col min="6" max="6" width="9" bestFit="1" customWidth="1"/>
    <col min="7" max="7" width="12.125" bestFit="1" customWidth="1"/>
    <col min="8" max="8" width="16.125" bestFit="1" customWidth="1"/>
    <col min="9" max="9" width="16" customWidth="1"/>
    <col min="10" max="10" width="14.375" bestFit="1" customWidth="1"/>
    <col min="11" max="11" width="7.375" customWidth="1"/>
    <col min="12" max="12" width="9" bestFit="1" customWidth="1"/>
    <col min="13" max="13" width="12.125" bestFit="1" customWidth="1"/>
    <col min="14" max="14" width="9.375" bestFit="1" customWidth="1"/>
    <col min="16" max="16" width="9.375" bestFit="1" customWidth="1"/>
    <col min="17" max="17" width="10.375" bestFit="1" customWidth="1"/>
    <col min="18" max="18" width="9.375" bestFit="1" customWidth="1"/>
    <col min="19" max="20" width="9" bestFit="1" customWidth="1"/>
    <col min="21" max="21" width="11.5" bestFit="1" customWidth="1"/>
    <col min="22" max="22" width="10.5" bestFit="1" customWidth="1"/>
    <col min="23" max="25" width="9" bestFit="1" customWidth="1"/>
    <col min="26" max="26" width="10" bestFit="1" customWidth="1"/>
    <col min="27" max="27" width="9.375" bestFit="1" customWidth="1"/>
    <col min="29" max="29" width="9.375" bestFit="1" customWidth="1"/>
    <col min="30" max="30" width="10.375" bestFit="1" customWidth="1"/>
    <col min="31" max="33" width="9" bestFit="1" customWidth="1"/>
    <col min="34" max="34" width="11.5" bestFit="1" customWidth="1"/>
    <col min="35" max="35" width="13.375" customWidth="1"/>
    <col min="36" max="38" width="9" bestFit="1" customWidth="1"/>
    <col min="39" max="40" width="9.375" bestFit="1" customWidth="1"/>
  </cols>
  <sheetData>
    <row r="2" spans="1:48" ht="16.5" thickBot="1" x14ac:dyDescent="0.3">
      <c r="C2" t="s">
        <v>36</v>
      </c>
      <c r="P2" t="s">
        <v>35</v>
      </c>
      <c r="AC2" t="s">
        <v>34</v>
      </c>
      <c r="AP2" t="s">
        <v>32</v>
      </c>
    </row>
    <row r="3" spans="1:48" ht="63" x14ac:dyDescent="0.25">
      <c r="C3" s="54" t="s">
        <v>9</v>
      </c>
      <c r="D3" s="55" t="s">
        <v>41</v>
      </c>
      <c r="E3" s="29" t="s">
        <v>29</v>
      </c>
      <c r="F3" s="55" t="s">
        <v>31</v>
      </c>
      <c r="G3" s="55" t="s">
        <v>22</v>
      </c>
      <c r="H3" s="30" t="s">
        <v>27</v>
      </c>
      <c r="I3" s="30" t="s">
        <v>40</v>
      </c>
      <c r="J3" s="29" t="s">
        <v>28</v>
      </c>
      <c r="K3" s="29" t="s">
        <v>25</v>
      </c>
      <c r="L3" s="29" t="s">
        <v>33</v>
      </c>
      <c r="M3" s="29" t="s">
        <v>26</v>
      </c>
      <c r="N3" s="32" t="s">
        <v>30</v>
      </c>
      <c r="P3" s="54" t="s">
        <v>9</v>
      </c>
      <c r="Q3" s="55" t="s">
        <v>41</v>
      </c>
      <c r="R3" s="29" t="s">
        <v>29</v>
      </c>
      <c r="S3" s="55" t="s">
        <v>31</v>
      </c>
      <c r="T3" s="55" t="s">
        <v>22</v>
      </c>
      <c r="U3" s="30" t="s">
        <v>27</v>
      </c>
      <c r="V3" s="30" t="s">
        <v>40</v>
      </c>
      <c r="W3" s="29" t="s">
        <v>28</v>
      </c>
      <c r="X3" s="29" t="s">
        <v>25</v>
      </c>
      <c r="Y3" s="29" t="s">
        <v>33</v>
      </c>
      <c r="Z3" s="29" t="s">
        <v>26</v>
      </c>
      <c r="AA3" s="32" t="s">
        <v>30</v>
      </c>
      <c r="AC3" s="54" t="s">
        <v>9</v>
      </c>
      <c r="AD3" s="55" t="s">
        <v>41</v>
      </c>
      <c r="AE3" s="29" t="s">
        <v>29</v>
      </c>
      <c r="AF3" s="55" t="s">
        <v>31</v>
      </c>
      <c r="AG3" s="55" t="s">
        <v>22</v>
      </c>
      <c r="AH3" s="30" t="s">
        <v>27</v>
      </c>
      <c r="AI3" s="30" t="s">
        <v>40</v>
      </c>
      <c r="AJ3" s="29" t="s">
        <v>28</v>
      </c>
      <c r="AK3" s="29" t="s">
        <v>25</v>
      </c>
      <c r="AL3" s="29" t="s">
        <v>33</v>
      </c>
      <c r="AM3" s="29" t="s">
        <v>26</v>
      </c>
      <c r="AN3" s="32" t="s">
        <v>30</v>
      </c>
      <c r="AP3" s="10" t="s">
        <v>9</v>
      </c>
      <c r="AQ3" s="29" t="s">
        <v>29</v>
      </c>
      <c r="AR3" s="11" t="s">
        <v>31</v>
      </c>
      <c r="AS3" s="29" t="s">
        <v>25</v>
      </c>
      <c r="AT3" s="32" t="s">
        <v>33</v>
      </c>
      <c r="AU3" s="29" t="s">
        <v>26</v>
      </c>
      <c r="AV3" s="32" t="s">
        <v>30</v>
      </c>
    </row>
    <row r="4" spans="1:48" x14ac:dyDescent="0.25">
      <c r="A4" t="s">
        <v>17</v>
      </c>
      <c r="B4" t="s">
        <v>11</v>
      </c>
      <c r="C4" s="64">
        <v>0</v>
      </c>
      <c r="D4" s="57">
        <f>C4*24</f>
        <v>0</v>
      </c>
      <c r="E4" s="58">
        <f>(Results!E5+Results!P5)/2</f>
        <v>0.2</v>
      </c>
      <c r="F4" s="59">
        <f>_xlfn.STDEV.S(Results!E5,Results!P5)</f>
        <v>0</v>
      </c>
      <c r="G4" s="59">
        <f>E4/SUM(E4:F4)</f>
        <v>1</v>
      </c>
      <c r="H4" s="58">
        <v>0</v>
      </c>
      <c r="I4" s="59">
        <f>STDEV(Results!H5,Results!S5)</f>
        <v>0</v>
      </c>
      <c r="J4" s="58">
        <v>0</v>
      </c>
      <c r="K4" s="58">
        <f>AVERAGE(Results!K5,Results!V5)</f>
        <v>4.4650000000000002E-3</v>
      </c>
      <c r="L4" s="58">
        <f>STDEV(Results!K5,Results!V5)</f>
        <v>4.949747468305815E-5</v>
      </c>
      <c r="M4" s="58"/>
      <c r="N4" s="65"/>
      <c r="O4" s="44"/>
      <c r="P4" s="50">
        <v>0</v>
      </c>
      <c r="Q4" s="51">
        <f>P4*24</f>
        <v>0</v>
      </c>
      <c r="R4" s="44">
        <f>(Results!E27+Results!P27)/2</f>
        <v>0.2</v>
      </c>
      <c r="S4" s="45">
        <f>_xlfn.STDEV.S(Results!E27,Results!P27)</f>
        <v>0</v>
      </c>
      <c r="T4" s="45">
        <f>R4/SUM(R4:S4)</f>
        <v>1</v>
      </c>
      <c r="U4" s="44">
        <v>0</v>
      </c>
      <c r="V4" s="44">
        <f>STDEV(Results!H27,Results!S27)</f>
        <v>0</v>
      </c>
      <c r="W4" s="44">
        <v>0</v>
      </c>
      <c r="X4" s="44">
        <f>AVERAGE(Results!K27,Results!V27)</f>
        <v>3.0181044999999999E-3</v>
      </c>
      <c r="Y4" s="44">
        <f>STDEV(Results!K27,Results!V27)</f>
        <v>7.3271041062653107E-4</v>
      </c>
      <c r="Z4" s="44"/>
      <c r="AA4" s="46"/>
      <c r="AB4" s="44"/>
      <c r="AC4" s="50">
        <v>0</v>
      </c>
      <c r="AD4" s="51">
        <f>AC4*24</f>
        <v>0</v>
      </c>
      <c r="AE4" s="44">
        <f>(Results!E49+Results!P49)/2</f>
        <v>0.2</v>
      </c>
      <c r="AF4" s="45">
        <f>_xlfn.STDEV.S(Results!E49,Results!P49)</f>
        <v>0</v>
      </c>
      <c r="AG4" s="45">
        <f>AE4/SUM(AE4:AF4)</f>
        <v>1</v>
      </c>
      <c r="AH4" s="44">
        <v>0</v>
      </c>
      <c r="AI4" s="45">
        <f>STDEV(Results!H49,Results!S49)</f>
        <v>0</v>
      </c>
      <c r="AJ4" s="44">
        <v>0</v>
      </c>
      <c r="AK4" s="44">
        <f>AVERAGE(Results!K49,Results!V49)</f>
        <v>2.4949149499999997E-3</v>
      </c>
      <c r="AL4" s="44">
        <f>STDEV(Results!K49,Results!V49)</f>
        <v>1.4726121679284076E-3</v>
      </c>
      <c r="AM4" s="44"/>
      <c r="AN4" s="46"/>
      <c r="AP4" s="13">
        <v>0</v>
      </c>
      <c r="AQ4">
        <v>0.2</v>
      </c>
      <c r="AR4" s="27">
        <v>0.01</v>
      </c>
      <c r="AS4">
        <v>4.5362090000000002E-3</v>
      </c>
      <c r="AT4">
        <v>1E-3</v>
      </c>
      <c r="AV4" s="14"/>
    </row>
    <row r="5" spans="1:48" x14ac:dyDescent="0.25">
      <c r="A5">
        <v>36.5</v>
      </c>
      <c r="B5">
        <v>0</v>
      </c>
      <c r="C5" s="50">
        <v>1</v>
      </c>
      <c r="D5" s="51">
        <f>C5*24</f>
        <v>24</v>
      </c>
      <c r="E5" s="44">
        <f>(Results!E6+Results!P6)/2</f>
        <v>0.52</v>
      </c>
      <c r="F5" s="45">
        <f>_xlfn.STDEV.S(Results!E6,Results!P6)</f>
        <v>2.2627416997969541E-2</v>
      </c>
      <c r="G5" s="45">
        <f t="shared" ref="G5:G18" si="0">E5/SUM(E5:F5)</f>
        <v>0.95830026959722492</v>
      </c>
      <c r="H5" s="44">
        <f>((E5+E4))/2*(D5-D4)+H4</f>
        <v>8.64</v>
      </c>
      <c r="I5" s="45">
        <f>STDEV(Results!H6,Results!S6)</f>
        <v>0.27152900397563451</v>
      </c>
      <c r="J5" s="44">
        <f>(LN(E5)-LN(E4))/(D5-D4)</f>
        <v>3.9812976876143179E-2</v>
      </c>
      <c r="K5" s="44">
        <f>AVERAGE(Results!K6,Results!V6)</f>
        <v>1.9055000000000002E-2</v>
      </c>
      <c r="L5" s="44">
        <f>STDEV(Results!K6,Results!V6)</f>
        <v>5.7275649276110471E-4</v>
      </c>
      <c r="M5" s="44">
        <f t="shared" ref="M5:M17" si="1">((K5-K4)/(E5-E4))*J5*24000</f>
        <v>43.565349946719678</v>
      </c>
      <c r="N5" s="46">
        <f>STDEV(Results!L6,Results!W6)</f>
        <v>0.76162061849077256</v>
      </c>
      <c r="O5" s="44"/>
      <c r="P5" s="50">
        <v>1</v>
      </c>
      <c r="Q5" s="51">
        <f>P5*24</f>
        <v>24</v>
      </c>
      <c r="R5" s="44">
        <f>(Results!E28+Results!P28)/2</f>
        <v>0.378</v>
      </c>
      <c r="S5" s="45">
        <f>_xlfn.STDEV.S(Results!E28,Results!P28)</f>
        <v>5.9396969619669789E-2</v>
      </c>
      <c r="T5" s="45">
        <f t="shared" ref="T5:T18" si="2">R5/SUM(R5:S5)</f>
        <v>0.86420351821066044</v>
      </c>
      <c r="U5" s="44">
        <f>((R5+R4))/2*(Q5-Q4)+U4</f>
        <v>6.9360000000000008</v>
      </c>
      <c r="V5" s="45">
        <f>STDEV(Results!H28,Results!S28)</f>
        <v>0.71276363543603927</v>
      </c>
      <c r="W5" s="44">
        <f>(LN(R5)-LN(R4))/(Q5-Q4)</f>
        <v>2.6524034544647954E-2</v>
      </c>
      <c r="X5" s="44">
        <f>AVERAGE(Results!K28,Results!V28)</f>
        <v>1.7389999999999999E-2</v>
      </c>
      <c r="Y5" s="44">
        <f>STDEV(Results!K28,Results!V28)</f>
        <v>2.2627416997969579E-4</v>
      </c>
      <c r="Z5" s="44">
        <f t="shared" ref="Z5:Z17" si="3">((X5-X4)/(R5-R4))*W5*24000</f>
        <v>51.397840815380285</v>
      </c>
      <c r="AA5" s="46">
        <f>STDEV(Results!W28,Results!L28)</f>
        <v>6.3139271450558754</v>
      </c>
      <c r="AB5" s="44"/>
      <c r="AC5" s="50">
        <v>1</v>
      </c>
      <c r="AD5" s="51">
        <f>AC5*24</f>
        <v>24</v>
      </c>
      <c r="AE5" s="44">
        <f>(Results!E50+Results!P50)/2</f>
        <v>0.39600000000000002</v>
      </c>
      <c r="AF5" s="45">
        <f>_xlfn.STDEV.S(Results!E50,Results!P50)</f>
        <v>0</v>
      </c>
      <c r="AG5" s="45">
        <f t="shared" ref="AG5:AG18" si="4">AE5/SUM(AE5:AF5)</f>
        <v>1</v>
      </c>
      <c r="AH5" s="44">
        <f>((AE5+AE4))/2*(AD5-AD4)+AH4</f>
        <v>7.152000000000001</v>
      </c>
      <c r="AI5" s="45">
        <f>STDEV(Results!H50,Results!S50)</f>
        <v>0</v>
      </c>
      <c r="AJ5" s="44">
        <f>(LN(AE5)-LN(AE4))/(AD5-AD4)</f>
        <v>2.8462368529435161E-2</v>
      </c>
      <c r="AK5" s="44">
        <f>AVERAGE(Results!K50,Results!V50)</f>
        <v>1.2145E-2</v>
      </c>
      <c r="AL5" s="44">
        <f>STDEV(Results!K50,Results!V50)</f>
        <v>1.2020815280171309E-4</v>
      </c>
      <c r="AM5" s="44">
        <f t="shared" ref="AM5:AM18" si="5">((AK5-AK4)/(AE5-AE4))*AJ5*24000</f>
        <v>33.632360453080743</v>
      </c>
      <c r="AN5" s="46">
        <f>STDEV(Results!L50,Results!W50)</f>
        <v>4.7133822219457668</v>
      </c>
      <c r="AP5" s="13">
        <v>1</v>
      </c>
      <c r="AQ5">
        <v>0.44073333329999997</v>
      </c>
      <c r="AR5" s="27">
        <v>9.2094154720000002E-3</v>
      </c>
      <c r="AS5">
        <v>9.1518639999999991E-3</v>
      </c>
      <c r="AT5" s="14">
        <v>1E-3</v>
      </c>
      <c r="AU5" s="33">
        <v>15.149266880000001</v>
      </c>
      <c r="AV5" s="14">
        <v>0</v>
      </c>
    </row>
    <row r="6" spans="1:48" x14ac:dyDescent="0.25">
      <c r="A6">
        <v>36.5</v>
      </c>
      <c r="B6">
        <v>0</v>
      </c>
      <c r="C6" s="50">
        <v>2</v>
      </c>
      <c r="D6" s="51">
        <f t="shared" ref="D6:D18" si="6">C6*24</f>
        <v>48</v>
      </c>
      <c r="E6" s="44">
        <f>(Results!E7+Results!P7)/2</f>
        <v>1.1200000000000001</v>
      </c>
      <c r="F6" s="45">
        <f>_xlfn.STDEV.S(Results!E7,Results!P7)</f>
        <v>0.22627416997969452</v>
      </c>
      <c r="G6" s="45">
        <f t="shared" si="0"/>
        <v>0.83192563964656085</v>
      </c>
      <c r="H6" s="44">
        <f>((E6+E5))/2*(D6-D5)+H5</f>
        <v>28.32</v>
      </c>
      <c r="I6" s="45">
        <f>STDEV(Results!H7,Results!S7)</f>
        <v>2.1722320318050761</v>
      </c>
      <c r="J6" s="44">
        <f t="shared" ref="J6:J18" si="7">(LN(E6)-LN(E5))/(D6-D5)</f>
        <v>3.1968964696402799E-2</v>
      </c>
      <c r="K6" s="44">
        <f>AVERAGE(Results!K7,Results!V7)</f>
        <v>4.2285000000000003E-2</v>
      </c>
      <c r="L6" s="44">
        <f>STDEV(Results!K7,Results!V7)</f>
        <v>5.0416713498600873E-3</v>
      </c>
      <c r="M6" s="44">
        <f t="shared" si="1"/>
        <v>29.705561995897479</v>
      </c>
      <c r="N6" s="46">
        <f>STDEV(Results!L7,Results!W7)</f>
        <v>4.3812591333747459</v>
      </c>
      <c r="O6" s="44"/>
      <c r="P6" s="50">
        <v>2</v>
      </c>
      <c r="Q6" s="51">
        <f t="shared" ref="Q6:Q18" si="8">P6*24</f>
        <v>48</v>
      </c>
      <c r="R6" s="44">
        <f>(Results!E29+Results!P29)/2</f>
        <v>0.79300000000000004</v>
      </c>
      <c r="S6" s="45">
        <f>_xlfn.STDEV.S(Results!E29,Results!P29)</f>
        <v>2.4041630560342638E-2</v>
      </c>
      <c r="T6" s="45">
        <f t="shared" si="2"/>
        <v>0.97057477898175837</v>
      </c>
      <c r="U6" s="44">
        <f t="shared" ref="U6:U17" si="9">((R6+R5))/2*(Q6-Q5)+U5</f>
        <v>20.988</v>
      </c>
      <c r="V6" s="45">
        <f>STDEV(Results!H29,Results!S29)</f>
        <v>1.7140268375961885</v>
      </c>
      <c r="W6" s="44">
        <f>(LN(R6)-LN(R5))/(Q6-Q5)</f>
        <v>3.0872042750635847E-2</v>
      </c>
      <c r="X6" s="44">
        <f>AVERAGE(Results!K29,Results!V29)</f>
        <v>3.2570000000000002E-2</v>
      </c>
      <c r="Y6" s="44">
        <f>STDEV(Results!K29,Results!V29)</f>
        <v>3.7476659402887035E-3</v>
      </c>
      <c r="Z6" s="44">
        <f t="shared" si="3"/>
        <v>27.101934011835308</v>
      </c>
      <c r="AA6" s="46">
        <f>STDEV(Results!W29,Results!L29)</f>
        <v>9.4694875899600959</v>
      </c>
      <c r="AB6" s="44"/>
      <c r="AC6" s="50">
        <v>2</v>
      </c>
      <c r="AD6" s="51">
        <f t="shared" ref="AD6:AD18" si="10">AC6*24</f>
        <v>48</v>
      </c>
      <c r="AE6" s="44">
        <f>(Results!E51+Results!P51)/2</f>
        <v>0.67999999999999994</v>
      </c>
      <c r="AF6" s="45">
        <f>_xlfn.STDEV.S(Results!E51,Results!P51)</f>
        <v>9.0509667991878096E-2</v>
      </c>
      <c r="AG6" s="45">
        <f t="shared" si="4"/>
        <v>0.88253272898214674</v>
      </c>
      <c r="AH6" s="44">
        <f t="shared" ref="AH6:AH18" si="11">((AE6+AE5))/2*(AD6-AD5)+AH5</f>
        <v>20.064</v>
      </c>
      <c r="AI6" s="45">
        <f>STDEV(Results!H51,Results!S51)</f>
        <v>1.086116015902538</v>
      </c>
      <c r="AJ6" s="44">
        <f>(LN(AE6)-LN(AE5))/(AD6-AD5)</f>
        <v>2.2528274454819652E-2</v>
      </c>
      <c r="AK6" s="44">
        <f>AVERAGE(Results!K51,Results!V51)</f>
        <v>2.4645E-2</v>
      </c>
      <c r="AL6" s="44">
        <f>STDEV(Results!K51,Results!V51)</f>
        <v>9.4045201897810667E-4</v>
      </c>
      <c r="AM6" s="44">
        <f t="shared" si="5"/>
        <v>23.797473015654571</v>
      </c>
      <c r="AN6" s="46">
        <f>STDEV(Results!L51,Results!W51)</f>
        <v>3.3009049865392988</v>
      </c>
      <c r="AP6" s="13">
        <v>2</v>
      </c>
      <c r="AQ6">
        <v>0.92600000000000005</v>
      </c>
      <c r="AR6" s="27">
        <v>4.5033321000000001E-2</v>
      </c>
      <c r="AS6">
        <v>1.8852141999999999E-2</v>
      </c>
      <c r="AT6" s="14">
        <v>1E-3</v>
      </c>
      <c r="AU6" s="33">
        <v>14.84095016</v>
      </c>
      <c r="AV6" s="14">
        <v>2.9019864742807124</v>
      </c>
    </row>
    <row r="7" spans="1:48" x14ac:dyDescent="0.25">
      <c r="A7">
        <v>36.5</v>
      </c>
      <c r="B7">
        <v>1</v>
      </c>
      <c r="C7" s="66">
        <v>3</v>
      </c>
      <c r="D7" s="60">
        <f t="shared" si="6"/>
        <v>72</v>
      </c>
      <c r="E7" s="61">
        <f>(Results!E8+Results!P8)/2</f>
        <v>1.1499999999999999</v>
      </c>
      <c r="F7" s="62">
        <f>_xlfn.STDEV.S(Results!E8,Results!P8)</f>
        <v>7.0710678118654655E-2</v>
      </c>
      <c r="G7" s="62">
        <f t="shared" si="0"/>
        <v>0.94207417090212309</v>
      </c>
      <c r="H7" s="61">
        <f t="shared" ref="H7:H17" si="12">((E7+E6))/2*(D7-D6)+H6</f>
        <v>55.56</v>
      </c>
      <c r="I7" s="62">
        <f>STDEV(Results!H8,Results!S8)</f>
        <v>5.736050208985275</v>
      </c>
      <c r="J7" s="61">
        <f t="shared" si="7"/>
        <v>1.10138571117314E-3</v>
      </c>
      <c r="K7" s="61">
        <f>AVERAGE(Results!K8,Results!V8)</f>
        <v>7.2605000000000003E-2</v>
      </c>
      <c r="L7" s="61">
        <f>STDEV(Results!K8,Results!V8)</f>
        <v>1.5634130932034553E-2</v>
      </c>
      <c r="M7" s="61">
        <f t="shared" si="1"/>
        <v>26.715211810215859</v>
      </c>
      <c r="N7" s="67">
        <f>STDEV(Results!L8,Results!W8)</f>
        <v>5.8712846715084641</v>
      </c>
      <c r="O7" s="44"/>
      <c r="P7" s="50">
        <v>3</v>
      </c>
      <c r="Q7" s="51">
        <f t="shared" si="8"/>
        <v>72</v>
      </c>
      <c r="R7" s="44">
        <f>(Results!E30+Results!P30)/2</f>
        <v>1.48</v>
      </c>
      <c r="S7" s="45">
        <f>_xlfn.STDEV.S(Results!E30,Results!P30)</f>
        <v>0.31112698372208092</v>
      </c>
      <c r="T7" s="45">
        <f t="shared" si="2"/>
        <v>0.82629540699814685</v>
      </c>
      <c r="U7" s="44">
        <f t="shared" si="9"/>
        <v>48.264000000000003</v>
      </c>
      <c r="V7" s="45">
        <f>STDEV(Results!H30,Results!S30)</f>
        <v>5.7360502089852643</v>
      </c>
      <c r="W7" s="44">
        <f t="shared" ref="W7:W18" si="13">(LN(R7)-LN(R6))/(Q7-Q6)</f>
        <v>2.5998922713471363E-2</v>
      </c>
      <c r="X7" s="44">
        <f>AVERAGE(Results!K30,Results!V30)</f>
        <v>6.4299999999999996E-2</v>
      </c>
      <c r="Y7" s="44">
        <f>STDEV(Results!K30,Results!V30)</f>
        <v>5.9396969619669531E-4</v>
      </c>
      <c r="Z7" s="44">
        <f t="shared" si="3"/>
        <v>28.819067867194629</v>
      </c>
      <c r="AA7" s="46">
        <f>STDEV(Results!W30,Results!L30)</f>
        <v>0.20172489836890406</v>
      </c>
      <c r="AB7" s="44"/>
      <c r="AC7" s="50">
        <v>3</v>
      </c>
      <c r="AD7" s="51">
        <f t="shared" si="10"/>
        <v>72</v>
      </c>
      <c r="AE7" s="44">
        <f>(Results!E52+Results!P52)/2</f>
        <v>0.93500000000000005</v>
      </c>
      <c r="AF7" s="45">
        <f>_xlfn.STDEV.S(Results!E52,Results!P52)</f>
        <v>4.949747468305829E-2</v>
      </c>
      <c r="AG7" s="45">
        <f t="shared" si="4"/>
        <v>0.94972310650264169</v>
      </c>
      <c r="AH7" s="44">
        <f t="shared" si="11"/>
        <v>39.444000000000003</v>
      </c>
      <c r="AI7" s="45">
        <f>STDEV(Results!H52,Results!S52)</f>
        <v>1.5782623356083785</v>
      </c>
      <c r="AJ7" s="44">
        <f t="shared" ref="AJ7:AJ18" si="14">(LN(AE7)-LN(AE6))/(AD7-AD6)</f>
        <v>1.3268905463272284E-2</v>
      </c>
      <c r="AK7" s="44">
        <f>AVERAGE(Results!K52,Results!V52)</f>
        <v>5.7569999999999996E-2</v>
      </c>
      <c r="AL7" s="44">
        <f>STDEV(Results!K52,Results!V52)</f>
        <v>6.3215346238077322E-3</v>
      </c>
      <c r="AM7" s="44">
        <f t="shared" si="5"/>
        <v>41.117996459128442</v>
      </c>
      <c r="AN7" s="46">
        <f>STDEV(Results!L52,Results!W52)</f>
        <v>7.6348378876670324</v>
      </c>
      <c r="AP7" s="13">
        <v>3</v>
      </c>
      <c r="AQ7">
        <v>1.583111111</v>
      </c>
      <c r="AR7" s="27">
        <v>3.6401058190000002E-2</v>
      </c>
      <c r="AS7">
        <v>3.6649953999999998E-2</v>
      </c>
      <c r="AT7" s="14">
        <v>1E-3</v>
      </c>
      <c r="AU7" s="33">
        <v>14.52491992</v>
      </c>
      <c r="AV7" s="14">
        <v>2.2065367392841133</v>
      </c>
    </row>
    <row r="8" spans="1:48" x14ac:dyDescent="0.25">
      <c r="A8">
        <v>36.5</v>
      </c>
      <c r="B8">
        <v>0</v>
      </c>
      <c r="C8" s="64">
        <v>4</v>
      </c>
      <c r="D8" s="57">
        <f t="shared" si="6"/>
        <v>96</v>
      </c>
      <c r="E8" s="58">
        <f>(Results!E9+Results!P9)/2</f>
        <v>3.21</v>
      </c>
      <c r="F8" s="59">
        <f>_xlfn.STDEV.S(Results!E9,Results!P9)</f>
        <v>1.4142135623730963E-2</v>
      </c>
      <c r="G8" s="59">
        <f t="shared" si="0"/>
        <v>0.99561367488502639</v>
      </c>
      <c r="H8" s="58">
        <f t="shared" si="12"/>
        <v>107.88</v>
      </c>
      <c r="I8" s="59">
        <f>STDEV(Results!H9,Results!S9)</f>
        <v>6.4148727189243608</v>
      </c>
      <c r="J8" s="58">
        <f t="shared" si="7"/>
        <v>4.2771208115281907E-2</v>
      </c>
      <c r="K8" s="58">
        <f>AVERAGE(Results!K9,Results!V9)</f>
        <v>0.21925</v>
      </c>
      <c r="L8" s="58">
        <f>STDEV(Results!K9,Results!V9)</f>
        <v>3.1819805153394665E-3</v>
      </c>
      <c r="M8" s="58">
        <f t="shared" si="1"/>
        <v>73.073986183287559</v>
      </c>
      <c r="N8" s="65">
        <f>STDEV(Results!L9,Results!W9)</f>
        <v>11.062514234658945</v>
      </c>
      <c r="O8" s="44"/>
      <c r="P8" s="50">
        <v>4</v>
      </c>
      <c r="Q8" s="51">
        <f t="shared" si="8"/>
        <v>96</v>
      </c>
      <c r="R8" s="44">
        <f>(Results!E31+Results!P31)/2</f>
        <v>4.8719999999999999</v>
      </c>
      <c r="S8" s="45">
        <f>_xlfn.STDEV.S(Results!E31,Results!P31)</f>
        <v>1.5952328983568527</v>
      </c>
      <c r="T8" s="45">
        <f t="shared" si="2"/>
        <v>0.75333609854035744</v>
      </c>
      <c r="U8" s="44">
        <f t="shared" si="9"/>
        <v>124.488</v>
      </c>
      <c r="V8" s="45">
        <f>STDEV(Results!H31,Results!S31)</f>
        <v>28.6123687939325</v>
      </c>
      <c r="W8" s="44">
        <f t="shared" si="13"/>
        <v>4.9644268442982177E-2</v>
      </c>
      <c r="X8" s="44">
        <f>AVERAGE(Results!K31,Results!V31)</f>
        <v>0.1552</v>
      </c>
      <c r="Y8" s="44">
        <f>STDEV(Results!K31,Results!V31)</f>
        <v>2.1213203435596446E-3</v>
      </c>
      <c r="Z8" s="44">
        <f t="shared" si="3"/>
        <v>31.929226425474624</v>
      </c>
      <c r="AA8" s="46">
        <f>STDEV(Results!W31,Results!L31)</f>
        <v>8.7700198857828635</v>
      </c>
      <c r="AB8" s="44"/>
      <c r="AC8" s="50">
        <v>4</v>
      </c>
      <c r="AD8" s="51">
        <f t="shared" si="10"/>
        <v>96</v>
      </c>
      <c r="AE8" s="44">
        <f>(Results!E53+Results!P53)/2</f>
        <v>2.8559999999999999</v>
      </c>
      <c r="AF8" s="45">
        <f>_xlfn.STDEV.S(Results!E53,Results!P53)</f>
        <v>0.47517575695736575</v>
      </c>
      <c r="AG8" s="45">
        <f t="shared" si="4"/>
        <v>0.85735494263101186</v>
      </c>
      <c r="AH8" s="44">
        <f t="shared" si="11"/>
        <v>84.936000000000007</v>
      </c>
      <c r="AI8" s="45">
        <f>STDEV(Results!H53,Results!S53)</f>
        <v>6.6864017229000057</v>
      </c>
      <c r="AJ8" s="44">
        <f t="shared" si="14"/>
        <v>4.652628309044949E-2</v>
      </c>
      <c r="AK8" s="44">
        <f>AVERAGE(Results!K53,Results!V53)</f>
        <v>0.13075000000000001</v>
      </c>
      <c r="AL8" s="44">
        <f>STDEV(Results!K53,Results!V53)</f>
        <v>1.3788582233137689E-2</v>
      </c>
      <c r="AM8" s="44">
        <f t="shared" si="5"/>
        <v>42.537762372419714</v>
      </c>
      <c r="AN8" s="46">
        <f>STDEV(Results!L53,Results!W53)</f>
        <v>15.037799918741944</v>
      </c>
      <c r="AP8" s="13">
        <v>4</v>
      </c>
      <c r="AQ8">
        <v>3.8849999999999998</v>
      </c>
      <c r="AR8" s="27">
        <v>0.11324751649999999</v>
      </c>
      <c r="AS8">
        <v>0.103831083</v>
      </c>
      <c r="AT8" s="14">
        <v>1E-3</v>
      </c>
      <c r="AU8" s="33">
        <v>26.200475369999999</v>
      </c>
      <c r="AV8" s="14">
        <v>1.2871969611126708</v>
      </c>
    </row>
    <row r="9" spans="1:48" x14ac:dyDescent="0.25">
      <c r="A9">
        <v>32.5</v>
      </c>
      <c r="B9">
        <v>1</v>
      </c>
      <c r="C9" s="50">
        <v>5</v>
      </c>
      <c r="D9" s="51">
        <f t="shared" si="6"/>
        <v>120</v>
      </c>
      <c r="E9" s="44">
        <f>(Results!E10+Results!P10)/2</f>
        <v>6.6080000000000005</v>
      </c>
      <c r="F9" s="45">
        <f>_xlfn.STDEV.S(Results!E10,Results!P10)</f>
        <v>0.15839191898578617</v>
      </c>
      <c r="G9" s="45">
        <f t="shared" si="0"/>
        <v>0.97659137678068053</v>
      </c>
      <c r="H9" s="44">
        <f t="shared" si="12"/>
        <v>225.69600000000003</v>
      </c>
      <c r="I9" s="45">
        <f>STDEV(Results!H10,Results!S10)</f>
        <v>8.1458701192690146</v>
      </c>
      <c r="J9" s="44">
        <f t="shared" si="7"/>
        <v>3.0083754128198026E-2</v>
      </c>
      <c r="K9" s="44">
        <f>AVERAGE(Results!K10,Results!V10)</f>
        <v>0.36604999999999999</v>
      </c>
      <c r="L9" s="44">
        <f>STDEV(Results!K10,Results!V10)</f>
        <v>2.2698127676088187E-2</v>
      </c>
      <c r="M9" s="44">
        <f t="shared" si="1"/>
        <v>31.192196157877358</v>
      </c>
      <c r="N9" s="46">
        <f>STDEV(Results!L10,Results!W10)</f>
        <v>4.5051965314028664</v>
      </c>
      <c r="O9" s="44"/>
      <c r="P9" s="50">
        <v>5</v>
      </c>
      <c r="Q9" s="51">
        <f t="shared" si="8"/>
        <v>120</v>
      </c>
      <c r="R9" s="44">
        <f>(Results!E32+Results!P32)/2</f>
        <v>4.95</v>
      </c>
      <c r="S9" s="45">
        <f>_xlfn.STDEV.S(Results!E32,Results!P32)</f>
        <v>1.4000714267493668</v>
      </c>
      <c r="T9" s="45">
        <f t="shared" si="2"/>
        <v>0.77951879078845721</v>
      </c>
      <c r="U9" s="44">
        <f t="shared" si="9"/>
        <v>242.35199999999998</v>
      </c>
      <c r="V9" s="45">
        <f>STDEV(Results!H32,Results!S32)</f>
        <v>64.556020695206954</v>
      </c>
      <c r="W9" s="44">
        <f t="shared" si="13"/>
        <v>6.6179359054179454E-4</v>
      </c>
      <c r="X9" s="44">
        <f>AVERAGE(Results!K32,Results!V32)</f>
        <v>0.24704999999999999</v>
      </c>
      <c r="Y9" s="44">
        <f>STDEV(Results!K32,Results!V32)</f>
        <v>1.0818733752154164E-2</v>
      </c>
      <c r="Z9" s="44">
        <f t="shared" si="3"/>
        <v>18.703305012696489</v>
      </c>
      <c r="AA9" s="46">
        <f>STDEV(Results!W32,Results!L32)</f>
        <v>4.1284193811569088</v>
      </c>
      <c r="AB9" s="44"/>
      <c r="AC9" s="50">
        <v>5</v>
      </c>
      <c r="AD9" s="51">
        <f t="shared" si="10"/>
        <v>120</v>
      </c>
      <c r="AE9" s="44">
        <f>(Results!E54+Results!P54)/2</f>
        <v>4.1219999999999999</v>
      </c>
      <c r="AF9" s="45">
        <f>_xlfn.STDEV.S(Results!E54,Results!P54)</f>
        <v>0.24607315985291875</v>
      </c>
      <c r="AG9" s="45">
        <f t="shared" si="4"/>
        <v>0.9436655131799111</v>
      </c>
      <c r="AH9" s="44">
        <f t="shared" si="11"/>
        <v>168.672</v>
      </c>
      <c r="AI9" s="45">
        <f>STDEV(Results!H54,Results!S54)</f>
        <v>15.341388724623354</v>
      </c>
      <c r="AJ9" s="44">
        <f t="shared" si="14"/>
        <v>1.5288184916288722E-2</v>
      </c>
      <c r="AK9" s="44">
        <f>AVERAGE(Results!K54,Results!V54)</f>
        <v>0.18959999999999999</v>
      </c>
      <c r="AL9" s="44">
        <f>STDEV(Results!K54,Results!V54)</f>
        <v>8.7681240867131856E-3</v>
      </c>
      <c r="AM9" s="44">
        <f t="shared" si="5"/>
        <v>17.056107721774239</v>
      </c>
      <c r="AN9" s="46">
        <f>STDEV(Results!L54,Results!W54)</f>
        <v>4.6937331454622297</v>
      </c>
      <c r="AP9" s="13">
        <v>5</v>
      </c>
      <c r="AQ9">
        <v>5.6833333329999993</v>
      </c>
      <c r="AR9" s="27">
        <v>0.20966242709999999</v>
      </c>
      <c r="AS9">
        <v>0.21084609400000001</v>
      </c>
      <c r="AT9" s="14">
        <v>1E-3</v>
      </c>
      <c r="AU9" s="33">
        <v>22.63768752</v>
      </c>
      <c r="AV9" s="14">
        <v>2.8754327645862516</v>
      </c>
    </row>
    <row r="10" spans="1:48" x14ac:dyDescent="0.25">
      <c r="A10">
        <v>32.5</v>
      </c>
      <c r="B10">
        <v>0</v>
      </c>
      <c r="C10" s="50">
        <v>6</v>
      </c>
      <c r="D10" s="51">
        <f t="shared" si="6"/>
        <v>144</v>
      </c>
      <c r="E10" s="44">
        <f>(Results!E11+Results!P11)/2</f>
        <v>8</v>
      </c>
      <c r="F10" s="45">
        <f>_xlfn.STDEV.S(Results!E11,Results!P11)</f>
        <v>1.1313708498984762</v>
      </c>
      <c r="G10" s="45">
        <f>E10/SUM(E10:F10)</f>
        <v>0.8761006569007046</v>
      </c>
      <c r="H10" s="44">
        <f t="shared" si="12"/>
        <v>400.99200000000002</v>
      </c>
      <c r="I10" s="45">
        <f>STDEV(Results!H11,Results!S11)</f>
        <v>3.5298770516832985</v>
      </c>
      <c r="J10" s="44">
        <f t="shared" si="7"/>
        <v>7.9650210608816132E-3</v>
      </c>
      <c r="K10" s="44">
        <f>AVERAGE(Results!K11,Results!V11)</f>
        <v>0.58194999999999997</v>
      </c>
      <c r="L10" s="44">
        <f>STDEV(Results!K11,Results!V11)</f>
        <v>0.12734993129169778</v>
      </c>
      <c r="M10" s="44">
        <f t="shared" si="1"/>
        <v>29.649104259385187</v>
      </c>
      <c r="N10" s="46">
        <f>STDEV(Results!L11,Results!W11)</f>
        <v>12.586471015883541</v>
      </c>
      <c r="O10" s="44"/>
      <c r="P10" s="50">
        <v>6</v>
      </c>
      <c r="Q10" s="51">
        <f t="shared" si="8"/>
        <v>144</v>
      </c>
      <c r="R10" s="44">
        <f>(Results!E33+Results!P33)/2</f>
        <v>6.1400000000000006</v>
      </c>
      <c r="S10" s="45">
        <f>_xlfn.STDEV.S(Results!E33,Results!P33)</f>
        <v>0.93338095116623609</v>
      </c>
      <c r="T10" s="45">
        <f t="shared" si="2"/>
        <v>0.86804316668221537</v>
      </c>
      <c r="U10" s="44">
        <f t="shared" si="9"/>
        <v>375.43199999999996</v>
      </c>
      <c r="V10" s="45">
        <f>STDEV(Results!H33,Results!S33)</f>
        <v>92.557449230194095</v>
      </c>
      <c r="W10" s="44">
        <f t="shared" si="13"/>
        <v>8.9765485657688406E-3</v>
      </c>
      <c r="X10" s="44">
        <f>AVERAGE(Results!K33,Results!V33)</f>
        <v>0.45014999999999999</v>
      </c>
      <c r="Y10" s="44">
        <f>STDEV(Results!K33,Results!V33)</f>
        <v>4.1719300090006422E-3</v>
      </c>
      <c r="Z10" s="44">
        <f t="shared" si="3"/>
        <v>36.769149856288763</v>
      </c>
      <c r="AA10" s="46">
        <f>STDEV(Results!W33,Results!L33)</f>
        <v>9.3468864097543971</v>
      </c>
      <c r="AB10" s="44"/>
      <c r="AC10" s="50">
        <v>6</v>
      </c>
      <c r="AD10" s="51">
        <f t="shared" si="10"/>
        <v>144</v>
      </c>
      <c r="AE10" s="44">
        <f>(Results!E55+Results!P55)/2</f>
        <v>5.7119999999999997</v>
      </c>
      <c r="AF10" s="45">
        <f>_xlfn.STDEV.S(Results!E55,Results!P55)</f>
        <v>1.1992531008923859</v>
      </c>
      <c r="AG10" s="45">
        <f t="shared" si="4"/>
        <v>0.82647819673431766</v>
      </c>
      <c r="AH10" s="44">
        <f t="shared" si="11"/>
        <v>286.68</v>
      </c>
      <c r="AI10" s="45">
        <f>STDEV(Results!H55,Results!S55)</f>
        <v>32.685303853567007</v>
      </c>
      <c r="AJ10" s="44">
        <f t="shared" si="14"/>
        <v>1.3592947607042336E-2</v>
      </c>
      <c r="AK10" s="44">
        <f>AVERAGE(Results!K55,Results!V55)</f>
        <v>0.43830000000000002</v>
      </c>
      <c r="AL10" s="44">
        <f>STDEV(Results!K55,Results!V55)</f>
        <v>2.6304372260139534E-2</v>
      </c>
      <c r="AM10" s="44">
        <f t="shared" si="5"/>
        <v>51.027412375417804</v>
      </c>
      <c r="AN10" s="46">
        <f>STDEV(Results!L55,Results!W55)</f>
        <v>3.5406716532721987</v>
      </c>
      <c r="AP10" s="13">
        <v>6</v>
      </c>
      <c r="AQ10">
        <v>8.9916666669999987</v>
      </c>
      <c r="AR10" s="27">
        <v>1.1684213000000001</v>
      </c>
      <c r="AS10">
        <v>0.39916133799999998</v>
      </c>
      <c r="AT10" s="14">
        <v>1E-3</v>
      </c>
      <c r="AU10" s="33">
        <v>26.113317649999999</v>
      </c>
      <c r="AV10" s="14">
        <v>7.7650037325029446</v>
      </c>
    </row>
    <row r="11" spans="1:48" x14ac:dyDescent="0.25">
      <c r="A11">
        <v>32.5</v>
      </c>
      <c r="B11">
        <v>1</v>
      </c>
      <c r="C11" s="66">
        <v>7</v>
      </c>
      <c r="D11" s="60">
        <f t="shared" si="6"/>
        <v>168</v>
      </c>
      <c r="E11" s="61">
        <f>(Results!E12+Results!P12)/2</f>
        <v>10.525</v>
      </c>
      <c r="F11" s="62">
        <f>_xlfn.STDEV.S(Results!E12,Results!P12)</f>
        <v>0.31819805153394587</v>
      </c>
      <c r="G11" s="62">
        <f t="shared" si="0"/>
        <v>0.97065459378112795</v>
      </c>
      <c r="H11" s="61">
        <f t="shared" si="12"/>
        <v>623.29200000000003</v>
      </c>
      <c r="I11" s="62">
        <f>STDEV(Results!H12,Results!S12)</f>
        <v>13.287950632057703</v>
      </c>
      <c r="J11" s="61">
        <f t="shared" si="7"/>
        <v>1.14296599120254E-2</v>
      </c>
      <c r="K11" s="61">
        <f>AVERAGE(Results!K12,Results!V12)</f>
        <v>0.79364999999999997</v>
      </c>
      <c r="L11" s="61">
        <f>STDEV(Results!K12,Results!V12)</f>
        <v>3.5991735162395309E-2</v>
      </c>
      <c r="M11" s="61">
        <f t="shared" si="1"/>
        <v>22.99873904198758</v>
      </c>
      <c r="N11" s="67">
        <f>STDEV(Results!L12,Results!W12)</f>
        <v>18.985488488021694</v>
      </c>
      <c r="O11" s="44"/>
      <c r="P11" s="50">
        <v>7</v>
      </c>
      <c r="Q11" s="51">
        <f t="shared" si="8"/>
        <v>168</v>
      </c>
      <c r="R11" s="44">
        <f>(Results!E34+Results!P34)/2</f>
        <v>8.7750000000000004</v>
      </c>
      <c r="S11" s="45">
        <f>_xlfn.STDEV.S(Results!E34,Results!P34)</f>
        <v>1.803122292025696</v>
      </c>
      <c r="T11" s="45">
        <f t="shared" si="2"/>
        <v>0.82954230984973798</v>
      </c>
      <c r="U11" s="44">
        <f t="shared" si="9"/>
        <v>554.41200000000003</v>
      </c>
      <c r="V11" s="45">
        <f>STDEV(Results!H34,Results!S34)</f>
        <v>125.39548814849746</v>
      </c>
      <c r="W11" s="44">
        <f t="shared" si="13"/>
        <v>1.4878417799703272E-2</v>
      </c>
      <c r="X11" s="44">
        <f>AVERAGE(Results!K34,Results!V34)</f>
        <v>0.60885</v>
      </c>
      <c r="Y11" s="44">
        <f>STDEV(Results!K34,Results!V34)</f>
        <v>5.8194888091652887E-2</v>
      </c>
      <c r="Z11" s="44">
        <f t="shared" si="3"/>
        <v>21.50623063207204</v>
      </c>
      <c r="AA11" s="46">
        <f>STDEV(Results!W34,Results!L34)</f>
        <v>3.4989397375801241</v>
      </c>
      <c r="AB11" s="44"/>
      <c r="AC11" s="50">
        <v>7</v>
      </c>
      <c r="AD11" s="51">
        <f t="shared" si="10"/>
        <v>168</v>
      </c>
      <c r="AE11" s="44">
        <f>(Results!E56+Results!P56)/2</f>
        <v>7.76</v>
      </c>
      <c r="AF11" s="45">
        <f>_xlfn.STDEV.S(Results!E56,Results!P56)</f>
        <v>1.074802307403552</v>
      </c>
      <c r="AG11" s="45">
        <f t="shared" si="4"/>
        <v>0.87834449826875372</v>
      </c>
      <c r="AH11" s="44">
        <f t="shared" si="11"/>
        <v>448.34399999999999</v>
      </c>
      <c r="AI11" s="45">
        <f>STDEV(Results!H56,Results!S56)</f>
        <v>34.17871337543297</v>
      </c>
      <c r="AJ11" s="44">
        <f t="shared" si="14"/>
        <v>1.2767212881576831E-2</v>
      </c>
      <c r="AK11" s="44">
        <f>AVERAGE(Results!K56,Results!V56)</f>
        <v>0.58095000000000008</v>
      </c>
      <c r="AL11" s="44">
        <f>STDEV(Results!K56,Results!V56)</f>
        <v>6.3144635559958723E-2</v>
      </c>
      <c r="AM11" s="44">
        <f t="shared" si="5"/>
        <v>21.342690440120343</v>
      </c>
      <c r="AN11" s="46">
        <f>STDEV(Results!L56,Results!W56)</f>
        <v>14.03927547586966</v>
      </c>
      <c r="AP11" s="13">
        <v>7</v>
      </c>
      <c r="AQ11">
        <v>11.266666669999999</v>
      </c>
      <c r="AR11" s="27">
        <v>2.8867513459999997E-2</v>
      </c>
      <c r="AS11">
        <v>0.79486249200000003</v>
      </c>
      <c r="AT11" s="14">
        <v>1E-3</v>
      </c>
      <c r="AU11" s="33">
        <v>39.230993650000002</v>
      </c>
      <c r="AV11" s="14">
        <v>22.717568768929947</v>
      </c>
    </row>
    <row r="12" spans="1:48" x14ac:dyDescent="0.25">
      <c r="A12">
        <v>32.5</v>
      </c>
      <c r="B12">
        <v>0</v>
      </c>
      <c r="C12" s="64">
        <v>8</v>
      </c>
      <c r="D12" s="57">
        <f t="shared" si="6"/>
        <v>192</v>
      </c>
      <c r="E12" s="58">
        <f>(Results!E13+Results!P13)/2</f>
        <v>10.725</v>
      </c>
      <c r="F12" s="59">
        <f>_xlfn.STDEV.S(Results!E13,Results!P13)</f>
        <v>0.31819805153394587</v>
      </c>
      <c r="G12" s="59">
        <f t="shared" si="0"/>
        <v>0.97118605950476944</v>
      </c>
      <c r="H12" s="58">
        <f t="shared" si="12"/>
        <v>878.29200000000003</v>
      </c>
      <c r="I12" s="59">
        <f>STDEV(Results!H13,Results!S13)</f>
        <v>13.287950632057703</v>
      </c>
      <c r="J12" s="58">
        <f t="shared" si="7"/>
        <v>7.8433688523480794E-4</v>
      </c>
      <c r="K12" s="58">
        <f>AVERAGE(Results!K13,Results!V13)</f>
        <v>1.2570000000000001</v>
      </c>
      <c r="L12" s="58">
        <f>STDEV(Results!K13,Results!V13)</f>
        <v>0.19940411229460547</v>
      </c>
      <c r="M12" s="58">
        <f t="shared" si="1"/>
        <v>43.610699492825965</v>
      </c>
      <c r="N12" s="65">
        <f>STDEV(Results!L13,Results!W13)</f>
        <v>15.374543054381068</v>
      </c>
      <c r="O12" s="44"/>
      <c r="P12" s="50">
        <v>8</v>
      </c>
      <c r="Q12" s="51">
        <f t="shared" si="8"/>
        <v>192</v>
      </c>
      <c r="R12" s="44">
        <f>(Results!E35+Results!P35)/2</f>
        <v>9.75</v>
      </c>
      <c r="S12" s="45">
        <f>_xlfn.STDEV.S(Results!E35,Results!P35)</f>
        <v>0.70710678118654757</v>
      </c>
      <c r="T12" s="45">
        <f t="shared" si="2"/>
        <v>0.93238026578644984</v>
      </c>
      <c r="U12" s="44">
        <f t="shared" si="9"/>
        <v>776.71199999999999</v>
      </c>
      <c r="V12" s="45">
        <f>STDEV(Results!H35,Results!S35)</f>
        <v>155.51823702704502</v>
      </c>
      <c r="W12" s="44">
        <f t="shared" si="13"/>
        <v>4.3900214857427637E-3</v>
      </c>
      <c r="X12" s="44">
        <f>AVERAGE(Results!K35,Results!V35)</f>
        <v>0.72875000000000001</v>
      </c>
      <c r="Y12" s="44">
        <f>STDEV(Results!K35,Results!V35)</f>
        <v>3.2880465325174447E-2</v>
      </c>
      <c r="Z12" s="44">
        <f t="shared" si="3"/>
        <v>12.95664187422911</v>
      </c>
      <c r="AA12" s="46">
        <f>STDEV(Results!W35,Results!L35)</f>
        <v>4.5710264224437687</v>
      </c>
      <c r="AB12" s="44"/>
      <c r="AC12" s="50">
        <v>8</v>
      </c>
      <c r="AD12" s="51">
        <f t="shared" si="10"/>
        <v>192</v>
      </c>
      <c r="AE12" s="44">
        <f>(Results!E57+Results!P57)/2</f>
        <v>9.8000000000000007</v>
      </c>
      <c r="AF12" s="45">
        <f>_xlfn.STDEV.S(Results!E57,Results!P57)</f>
        <v>0.79195959492893264</v>
      </c>
      <c r="AG12" s="45">
        <f t="shared" si="4"/>
        <v>0.92523011555783352</v>
      </c>
      <c r="AH12" s="44">
        <f t="shared" si="11"/>
        <v>659.06400000000008</v>
      </c>
      <c r="AI12" s="45">
        <f>STDEV(Results!H57,Results!S57)</f>
        <v>30.784600825737574</v>
      </c>
      <c r="AJ12" s="44">
        <f t="shared" si="14"/>
        <v>9.7250021450583004E-3</v>
      </c>
      <c r="AK12" s="44">
        <f>AVERAGE(Results!K57,Results!V57)</f>
        <v>0.7329</v>
      </c>
      <c r="AL12" s="44">
        <f>STDEV(Results!K57,Results!V57)</f>
        <v>4.0446507883870463E-2</v>
      </c>
      <c r="AM12" s="44">
        <f t="shared" si="5"/>
        <v>17.384871481665968</v>
      </c>
      <c r="AN12" s="46">
        <f>STDEV(Results!L57,Results!W57)</f>
        <v>12.309796719628034</v>
      </c>
      <c r="AP12" s="13">
        <v>8</v>
      </c>
      <c r="AQ12">
        <v>12.875</v>
      </c>
      <c r="AR12" s="27">
        <v>0.30413812649999999</v>
      </c>
      <c r="AS12" s="35">
        <v>1.286075401</v>
      </c>
      <c r="AT12" s="14">
        <v>1E-3</v>
      </c>
      <c r="AU12" s="33">
        <v>40.754565579999998</v>
      </c>
      <c r="AV12" s="14">
        <v>7.2828789680764094</v>
      </c>
    </row>
    <row r="13" spans="1:48" x14ac:dyDescent="0.25">
      <c r="A13">
        <v>32.5</v>
      </c>
      <c r="B13">
        <v>1</v>
      </c>
      <c r="C13" s="50">
        <v>9</v>
      </c>
      <c r="D13" s="51">
        <f t="shared" si="6"/>
        <v>216</v>
      </c>
      <c r="E13" s="44">
        <f>(Results!E14+Results!P14)/2</f>
        <v>10.475</v>
      </c>
      <c r="F13" s="45">
        <f>_xlfn.STDEV.S(Results!E14,Results!P14)</f>
        <v>0.38890872965260165</v>
      </c>
      <c r="G13" s="45">
        <f t="shared" si="0"/>
        <v>0.9642017675837895</v>
      </c>
      <c r="H13" s="44">
        <f t="shared" si="12"/>
        <v>1132.692</v>
      </c>
      <c r="I13" s="45">
        <f>STDEV(Results!H14,Results!S14)</f>
        <v>12.439422494633813</v>
      </c>
      <c r="J13" s="44">
        <f t="shared" si="7"/>
        <v>-9.8274995857831437E-4</v>
      </c>
      <c r="K13" s="44">
        <f>AVERAGE(Results!K14,Results!V14)</f>
        <v>1.5045000000000002</v>
      </c>
      <c r="L13" s="44">
        <f>STDEV(Results!K14,Results!V14)</f>
        <v>0.11525840533340727</v>
      </c>
      <c r="M13" s="44">
        <f t="shared" si="1"/>
        <v>23.350139015820755</v>
      </c>
      <c r="N13" s="46">
        <f>STDEV(Results!L14,Results!W14)</f>
        <v>8.0242311633708425</v>
      </c>
      <c r="O13" s="44"/>
      <c r="P13" s="50">
        <v>9</v>
      </c>
      <c r="Q13" s="51">
        <f t="shared" si="8"/>
        <v>216</v>
      </c>
      <c r="R13" s="44">
        <f>(Results!E36+Results!P36)/2</f>
        <v>10.85</v>
      </c>
      <c r="S13" s="45">
        <f>_xlfn.STDEV.S(Results!E36,Results!P36)</f>
        <v>1.2020815280171302</v>
      </c>
      <c r="T13" s="45">
        <f t="shared" si="2"/>
        <v>0.90025942612297427</v>
      </c>
      <c r="U13" s="44">
        <f t="shared" si="9"/>
        <v>1023.912</v>
      </c>
      <c r="V13" s="45">
        <f>STDEV(Results!H36,Results!S36)</f>
        <v>178.42849673748745</v>
      </c>
      <c r="W13" s="44">
        <f t="shared" si="13"/>
        <v>4.4540747906963536E-3</v>
      </c>
      <c r="X13" s="44">
        <f>AVERAGE(Results!K36,Results!V36)</f>
        <v>0.93445</v>
      </c>
      <c r="Y13" s="44">
        <f>STDEV(Results!K36,Results!V36)</f>
        <v>1.7606958851544979E-2</v>
      </c>
      <c r="Z13" s="44">
        <f t="shared" si="3"/>
        <v>19.989887660645241</v>
      </c>
      <c r="AA13" s="46">
        <f>STDEV(Results!W36,Results!L36)</f>
        <v>6.7747061882968911</v>
      </c>
      <c r="AB13" s="44"/>
      <c r="AC13" s="50">
        <v>9</v>
      </c>
      <c r="AD13" s="51">
        <f t="shared" si="10"/>
        <v>216</v>
      </c>
      <c r="AE13" s="44">
        <f>(Results!E58+Results!P58)/2</f>
        <v>9.7799999999999994</v>
      </c>
      <c r="AF13" s="45">
        <f>_xlfn.STDEV.S(Results!E58,Results!P58)</f>
        <v>0.82024386617639522</v>
      </c>
      <c r="AG13" s="45">
        <f t="shared" si="4"/>
        <v>0.9226202834074736</v>
      </c>
      <c r="AH13" s="44">
        <f t="shared" si="11"/>
        <v>894.02400000000011</v>
      </c>
      <c r="AI13" s="45">
        <f>STDEV(Results!H58,Results!S58)</f>
        <v>30.445189570767937</v>
      </c>
      <c r="AJ13" s="44">
        <f t="shared" si="14"/>
        <v>-8.5120901241686475E-5</v>
      </c>
      <c r="AK13" s="44">
        <f>AVERAGE(Results!K58,Results!V58)</f>
        <v>0.90975000000000006</v>
      </c>
      <c r="AL13" s="44">
        <f>STDEV(Results!K58,Results!V58)</f>
        <v>0.17854446224960258</v>
      </c>
      <c r="AM13" s="44">
        <f t="shared" si="5"/>
        <v>18.06435766150949</v>
      </c>
      <c r="AN13" s="46">
        <f>STDEV(Results!L58,Results!W58)</f>
        <v>14.149215818922508</v>
      </c>
      <c r="AP13" s="13">
        <v>9</v>
      </c>
      <c r="AQ13">
        <v>13.03333333</v>
      </c>
      <c r="AR13" s="27">
        <v>1.3096596250000001</v>
      </c>
      <c r="AS13">
        <v>1.3960408209999999</v>
      </c>
      <c r="AT13" s="14">
        <v>1E-3</v>
      </c>
      <c r="AU13" s="33">
        <v>8.4889126309999998</v>
      </c>
      <c r="AV13" s="14">
        <v>25.9048128723615</v>
      </c>
    </row>
    <row r="14" spans="1:48" x14ac:dyDescent="0.25">
      <c r="A14">
        <v>32.5</v>
      </c>
      <c r="B14">
        <v>0</v>
      </c>
      <c r="C14" s="50">
        <v>10</v>
      </c>
      <c r="D14" s="51">
        <f t="shared" si="6"/>
        <v>240</v>
      </c>
      <c r="E14" s="44">
        <f>(Results!E15+Results!P15)/2</f>
        <v>10.225</v>
      </c>
      <c r="F14" s="45">
        <f>_xlfn.STDEV.S(Results!E15,Results!P15)</f>
        <v>0.31819805153394587</v>
      </c>
      <c r="G14" s="45">
        <f t="shared" si="0"/>
        <v>0.96981958889716102</v>
      </c>
      <c r="H14" s="44">
        <f t="shared" si="12"/>
        <v>1381.0920000000001</v>
      </c>
      <c r="I14" s="45">
        <f>STDEV(Results!H15,Results!S15)</f>
        <v>11.590894357209924</v>
      </c>
      <c r="J14" s="44">
        <f t="shared" si="7"/>
        <v>-1.0064901616389881E-3</v>
      </c>
      <c r="K14" s="44">
        <f>AVERAGE(Results!K15,Results!V15)</f>
        <v>1.8144999999999998</v>
      </c>
      <c r="L14" s="44">
        <f>STDEV(Results!K15,Results!V15)</f>
        <v>8.9802561210691537E-2</v>
      </c>
      <c r="M14" s="44">
        <f t="shared" si="1"/>
        <v>29.953147210376248</v>
      </c>
      <c r="N14" s="46">
        <f>STDEV(Results!L15,Results!W15)</f>
        <v>19.911705686595607</v>
      </c>
      <c r="O14" s="44"/>
      <c r="P14" s="50">
        <v>10</v>
      </c>
      <c r="Q14" s="51">
        <f t="shared" si="8"/>
        <v>240</v>
      </c>
      <c r="R14" s="44">
        <f>(Results!E37+Results!P37)/2</f>
        <v>10.55</v>
      </c>
      <c r="S14" s="45">
        <f>_xlfn.STDEV.S(Results!E37,Results!P37)</f>
        <v>0.14142135623731025</v>
      </c>
      <c r="T14" s="45">
        <f t="shared" si="2"/>
        <v>0.98677244572773226</v>
      </c>
      <c r="U14" s="44">
        <f t="shared" si="9"/>
        <v>1280.712</v>
      </c>
      <c r="V14" s="45">
        <f>STDEV(Results!H37,Results!S37)</f>
        <v>191.15641879884708</v>
      </c>
      <c r="W14" s="44">
        <f t="shared" si="13"/>
        <v>-1.1683008360163782E-3</v>
      </c>
      <c r="X14" s="44">
        <f>AVERAGE(Results!K37,Results!V37)</f>
        <v>1.2850000000000001</v>
      </c>
      <c r="Y14" s="44">
        <f>STDEV(Results!K37,Results!V37)</f>
        <v>5.7982756057296948E-2</v>
      </c>
      <c r="Z14" s="44">
        <f t="shared" si="3"/>
        <v>32.763828645243436</v>
      </c>
      <c r="AA14" s="46">
        <f>STDEV(Results!W37,Results!L37)</f>
        <v>5.3905751930767734</v>
      </c>
      <c r="AB14" s="44"/>
      <c r="AC14" s="50">
        <v>10</v>
      </c>
      <c r="AD14" s="51">
        <f t="shared" si="10"/>
        <v>240</v>
      </c>
      <c r="AE14" s="44">
        <f>(Results!E59+Results!P59)/2</f>
        <v>9.02</v>
      </c>
      <c r="AF14" s="45">
        <f>_xlfn.STDEV.S(Results!E59,Results!P59)</f>
        <v>1.7253405460951752</v>
      </c>
      <c r="AG14" s="45">
        <f t="shared" si="4"/>
        <v>0.8394336095078756</v>
      </c>
      <c r="AH14" s="44">
        <f t="shared" si="11"/>
        <v>1119.624</v>
      </c>
      <c r="AI14" s="45">
        <f>STDEV(Results!H59,Results!S59)</f>
        <v>41.306349729793318</v>
      </c>
      <c r="AJ14" s="44">
        <f t="shared" si="14"/>
        <v>-3.3706312488414047E-3</v>
      </c>
      <c r="AK14" s="44">
        <f>AVERAGE(Results!K59,Results!V59)</f>
        <v>1.4965999999999999</v>
      </c>
      <c r="AL14" s="44">
        <f>STDEV(Results!K59,Results!V59)</f>
        <v>0.19714137059480941</v>
      </c>
      <c r="AM14" s="44">
        <f t="shared" si="5"/>
        <v>62.464893106818273</v>
      </c>
      <c r="AN14" s="46">
        <f>STDEV(Results!L59,Results!W59)</f>
        <v>1.2862450094244373</v>
      </c>
      <c r="AP14" s="13">
        <v>10</v>
      </c>
      <c r="AQ14">
        <v>13.33333333</v>
      </c>
      <c r="AR14" s="27">
        <v>0.22684429310000001</v>
      </c>
      <c r="AS14" s="35">
        <v>1.8371268000000001</v>
      </c>
      <c r="AT14" s="14">
        <v>0.162669757</v>
      </c>
      <c r="AU14" s="33">
        <v>33.459293160000001</v>
      </c>
      <c r="AV14" s="14">
        <v>10.78127178143</v>
      </c>
    </row>
    <row r="15" spans="1:48" x14ac:dyDescent="0.25">
      <c r="A15">
        <v>32.5</v>
      </c>
      <c r="B15">
        <v>1</v>
      </c>
      <c r="C15" s="66">
        <v>11</v>
      </c>
      <c r="D15" s="60">
        <f t="shared" si="6"/>
        <v>264</v>
      </c>
      <c r="E15" s="61">
        <f>(Results!E16+Results!P16)/2</f>
        <v>10.275</v>
      </c>
      <c r="F15" s="62">
        <f>_xlfn.STDEV.S(Results!E16,Results!P16)</f>
        <v>1.0253048327204934</v>
      </c>
      <c r="G15" s="62">
        <f t="shared" si="0"/>
        <v>0.90926750668250278</v>
      </c>
      <c r="H15" s="61">
        <f t="shared" si="12"/>
        <v>1627.0920000000001</v>
      </c>
      <c r="I15" s="62">
        <f>STDEV(Results!H16,Results!S16)</f>
        <v>27.712928968263174</v>
      </c>
      <c r="J15" s="61">
        <f t="shared" si="7"/>
        <v>2.0325243555970504E-4</v>
      </c>
      <c r="K15" s="61">
        <f>AVERAGE(Results!K16,Results!V16)</f>
        <v>1.9944999999999999</v>
      </c>
      <c r="L15" s="61">
        <f>STDEV(Results!K16,Results!V16)</f>
        <v>4.171930009000626E-2</v>
      </c>
      <c r="M15" s="61">
        <f t="shared" si="1"/>
        <v>17.561010432358284</v>
      </c>
      <c r="N15" s="67">
        <f>STDEV(Results!L16,Results!W16)</f>
        <v>14.014613246133448</v>
      </c>
      <c r="O15" s="44"/>
      <c r="P15" s="50">
        <v>11</v>
      </c>
      <c r="Q15" s="51">
        <f t="shared" si="8"/>
        <v>264</v>
      </c>
      <c r="R15" s="44">
        <f>(Results!E38+Results!P38)/2</f>
        <v>8.6999999999999993</v>
      </c>
      <c r="S15" s="45">
        <f>_xlfn.STDEV.S(Results!E38,Results!P38)</f>
        <v>0.77781745930520196</v>
      </c>
      <c r="T15" s="45">
        <f t="shared" si="2"/>
        <v>0.91793285082299714</v>
      </c>
      <c r="U15" s="44">
        <f t="shared" si="9"/>
        <v>1511.712</v>
      </c>
      <c r="V15" s="45">
        <f>STDEV(Results!H38,Results!S38)</f>
        <v>180.12555301233627</v>
      </c>
      <c r="W15" s="44">
        <f t="shared" si="13"/>
        <v>-8.0334514275640645E-3</v>
      </c>
      <c r="X15" s="44">
        <f>AVERAGE(Results!K38,Results!V38)</f>
        <v>1.6950000000000001</v>
      </c>
      <c r="Y15" s="44">
        <f>STDEV(Results!K38,Results!V38)</f>
        <v>8.4852813742385784E-3</v>
      </c>
      <c r="Z15" s="44">
        <f t="shared" si="3"/>
        <v>42.729276782286661</v>
      </c>
      <c r="AA15" s="46">
        <f>STDEV(Results!W38,Results!L38)</f>
        <v>9.0861739396487948</v>
      </c>
      <c r="AB15" s="44"/>
      <c r="AC15" s="50">
        <v>11</v>
      </c>
      <c r="AD15" s="51">
        <f t="shared" si="10"/>
        <v>264</v>
      </c>
      <c r="AE15" s="44">
        <f>(Results!E60+Results!P60)/2</f>
        <v>6.88</v>
      </c>
      <c r="AF15" s="45">
        <f>_xlfn.STDEV.S(Results!E60,Results!P60)</f>
        <v>0.1131370849898477</v>
      </c>
      <c r="AG15" s="45">
        <f t="shared" si="4"/>
        <v>0.98382169781389139</v>
      </c>
      <c r="AH15" s="44">
        <f t="shared" si="11"/>
        <v>1310.424</v>
      </c>
      <c r="AI15" s="45">
        <f>STDEV(Results!H60,Results!S60)</f>
        <v>60.652791263057189</v>
      </c>
      <c r="AJ15" s="44">
        <f t="shared" si="14"/>
        <v>-1.1284403422053335E-2</v>
      </c>
      <c r="AK15" s="44">
        <f>AVERAGE(Results!K60,Results!V60)</f>
        <v>1.85</v>
      </c>
      <c r="AL15" s="44">
        <f>STDEV(Results!K60,Results!V60)</f>
        <v>9.3338095116624206E-2</v>
      </c>
      <c r="AM15" s="44">
        <f t="shared" si="5"/>
        <v>44.724203768452163</v>
      </c>
      <c r="AN15" s="46">
        <f>STDEV(Results!L60,Results!W60)</f>
        <v>17.3757267792382</v>
      </c>
      <c r="AP15" s="13">
        <v>11</v>
      </c>
      <c r="AQ15">
        <v>10.516666669999999</v>
      </c>
      <c r="AR15" s="27">
        <v>0.65208000529999999</v>
      </c>
      <c r="AS15">
        <v>2.4196292559999999</v>
      </c>
      <c r="AT15" s="14">
        <v>0.223805637</v>
      </c>
      <c r="AU15" s="33">
        <v>49.07618317</v>
      </c>
      <c r="AV15" s="14">
        <v>26.859407224187816</v>
      </c>
    </row>
    <row r="16" spans="1:48" x14ac:dyDescent="0.25">
      <c r="A16">
        <v>32.5</v>
      </c>
      <c r="B16">
        <v>0</v>
      </c>
      <c r="C16" s="50">
        <v>12</v>
      </c>
      <c r="D16" s="51">
        <f t="shared" si="6"/>
        <v>288</v>
      </c>
      <c r="E16" s="44">
        <f>(Results!E17+Results!P17)/2</f>
        <v>8.4499999999999993</v>
      </c>
      <c r="F16" s="45">
        <f>_xlfn.STDEV.S(Results!E17,Results!P17)</f>
        <v>0.91923881554251163</v>
      </c>
      <c r="G16" s="45">
        <f t="shared" si="0"/>
        <v>0.90188756700089678</v>
      </c>
      <c r="H16" s="44">
        <f t="shared" si="12"/>
        <v>1851.7920000000001</v>
      </c>
      <c r="I16" s="45">
        <f>STDEV(Results!H17,Results!S17)</f>
        <v>51.047452747419243</v>
      </c>
      <c r="J16" s="44">
        <f t="shared" si="7"/>
        <v>-8.1478049588840085E-3</v>
      </c>
      <c r="K16" s="44">
        <f>AVERAGE(Results!K17,Results!V17)</f>
        <v>1.8794999999999999</v>
      </c>
      <c r="L16" s="44">
        <f>STDEV(Results!K17,Results!V17)</f>
        <v>7.0710678118646967E-4</v>
      </c>
      <c r="M16" s="44">
        <f t="shared" si="1"/>
        <v>-12.322159828230054</v>
      </c>
      <c r="N16" s="46">
        <f>STDEV(Results!L17,Results!W17)</f>
        <v>5.860989408541009</v>
      </c>
      <c r="O16" s="44"/>
      <c r="P16" s="50">
        <v>12</v>
      </c>
      <c r="Q16" s="51">
        <f t="shared" si="8"/>
        <v>288</v>
      </c>
      <c r="R16" s="44">
        <f>(Results!E39+Results!P39)/2</f>
        <v>7.35</v>
      </c>
      <c r="S16" s="45">
        <f>_xlfn.STDEV.S(Results!E39,Results!P39)</f>
        <v>0.21213203435596412</v>
      </c>
      <c r="T16" s="45">
        <f t="shared" si="2"/>
        <v>0.97194811815077886</v>
      </c>
      <c r="U16" s="44">
        <f t="shared" si="9"/>
        <v>1704.3119999999999</v>
      </c>
      <c r="V16" s="45">
        <f>STDEV(Results!H39,Results!S39)</f>
        <v>173.33732791294534</v>
      </c>
      <c r="W16" s="44">
        <f>(LN(R16)-LN(R15))/(Q16-Q15)</f>
        <v>-7.0259463514913594E-3</v>
      </c>
      <c r="X16" s="44">
        <f>AVERAGE(Results!K39,Results!V39)</f>
        <v>1.875</v>
      </c>
      <c r="Y16" s="44">
        <f>STDEV(Results!K39,Results!V39)</f>
        <v>0.17677669529663689</v>
      </c>
      <c r="Z16" s="44">
        <f t="shared" si="3"/>
        <v>22.483028324772349</v>
      </c>
      <c r="AA16" s="46">
        <f>STDEV(Results!W39,Results!L39)</f>
        <v>22.446078814523371</v>
      </c>
      <c r="AB16" s="44"/>
      <c r="AC16" s="50">
        <v>12</v>
      </c>
      <c r="AD16" s="51">
        <f t="shared" si="10"/>
        <v>288</v>
      </c>
      <c r="AE16" s="44">
        <f>(Results!E61+Results!P61)/2</f>
        <v>8.34</v>
      </c>
      <c r="AF16" s="45">
        <f>_xlfn.STDEV.S(Results!E61,Results!P61)</f>
        <v>0.1979898987322341</v>
      </c>
      <c r="AG16" s="45">
        <f t="shared" si="4"/>
        <v>0.97681071293354049</v>
      </c>
      <c r="AH16" s="44">
        <f t="shared" si="11"/>
        <v>1493.0639999999999</v>
      </c>
      <c r="AI16" s="45">
        <f>STDEV(Results!H61,Results!S61)</f>
        <v>61.671025027965854</v>
      </c>
      <c r="AJ16" s="44">
        <f t="shared" si="14"/>
        <v>8.0185235177251402E-3</v>
      </c>
      <c r="AK16" s="44">
        <f>AVERAGE(Results!K61,Results!V61)</f>
        <v>2.307445</v>
      </c>
      <c r="AL16" s="44">
        <f>STDEV(Results!K61,Results!V61)</f>
        <v>0.15634838038815779</v>
      </c>
      <c r="AM16" s="44">
        <f t="shared" si="5"/>
        <v>60.296440940807265</v>
      </c>
      <c r="AN16" s="46">
        <f>STDEV(Results!L61,Results!W61)</f>
        <v>8.047275995870903</v>
      </c>
      <c r="AP16" s="13">
        <v>12</v>
      </c>
      <c r="AQ16">
        <v>13.016666669999999</v>
      </c>
      <c r="AR16" s="27">
        <v>2.5594595780000002</v>
      </c>
      <c r="AS16" s="35">
        <v>2.4659907670000001</v>
      </c>
      <c r="AT16" s="14">
        <v>1E-3</v>
      </c>
      <c r="AU16" s="33">
        <v>3.954994562</v>
      </c>
      <c r="AV16" s="14">
        <v>19.474339130398509</v>
      </c>
    </row>
    <row r="17" spans="1:48" x14ac:dyDescent="0.25">
      <c r="A17">
        <v>32.5</v>
      </c>
      <c r="B17">
        <v>1</v>
      </c>
      <c r="C17" s="50">
        <v>13</v>
      </c>
      <c r="D17" s="51">
        <f t="shared" si="6"/>
        <v>312</v>
      </c>
      <c r="E17" s="44">
        <f>(Results!E18+Results!P18)/2</f>
        <v>8.0250000000000004</v>
      </c>
      <c r="F17" s="45">
        <f>_xlfn.STDEV.S(Results!E18,Results!P18)</f>
        <v>1.0960155108391492</v>
      </c>
      <c r="G17" s="45">
        <f t="shared" si="0"/>
        <v>0.87983624087288559</v>
      </c>
      <c r="H17" s="44">
        <f t="shared" si="12"/>
        <v>2049.4920000000002</v>
      </c>
      <c r="I17" s="45">
        <f>STDEV(Results!H18,Results!S18)</f>
        <v>48.926132403859597</v>
      </c>
      <c r="J17" s="44">
        <f t="shared" si="7"/>
        <v>-2.1501988480417769E-3</v>
      </c>
      <c r="K17" s="44">
        <f>AVERAGE(Results!K18,Results!V18)</f>
        <v>1.8545</v>
      </c>
      <c r="L17" s="44">
        <f>STDEV(Results!K18,Results!V18)</f>
        <v>5.727564927611032E-2</v>
      </c>
      <c r="M17" s="44">
        <f t="shared" si="1"/>
        <v>-3.03557484429427</v>
      </c>
      <c r="N17" s="46">
        <f>STDEV(Results!L18,Results!W18)</f>
        <v>7.0980536003236931</v>
      </c>
      <c r="O17" s="44"/>
      <c r="P17" s="50">
        <v>13</v>
      </c>
      <c r="Q17" s="51">
        <f t="shared" si="8"/>
        <v>312</v>
      </c>
      <c r="R17" s="44">
        <f>(Results!E40+Results!P40)/2</f>
        <v>6.9</v>
      </c>
      <c r="S17" s="45">
        <f>_xlfn.STDEV.S(Results!E40,Results!P40)</f>
        <v>0.14142135623730964</v>
      </c>
      <c r="T17" s="45">
        <f t="shared" si="2"/>
        <v>0.97991579411562446</v>
      </c>
      <c r="U17" s="44">
        <f t="shared" si="9"/>
        <v>1875.3119999999999</v>
      </c>
      <c r="V17" s="45">
        <f>STDEV(Results!H40,Results!S40)</f>
        <v>177.5799686000646</v>
      </c>
      <c r="W17" s="44">
        <f t="shared" si="13"/>
        <v>-2.6324542342304746E-3</v>
      </c>
      <c r="X17" s="44">
        <f>AVERAGE(Results!K40,Results!V40)</f>
        <v>1.9279999999999999</v>
      </c>
      <c r="Y17" s="44">
        <f>STDEV(Results!K40,Results!V40)</f>
        <v>0.18809040379562167</v>
      </c>
      <c r="Z17" s="44">
        <f t="shared" si="3"/>
        <v>7.4410706354248122</v>
      </c>
      <c r="AA17" s="46">
        <f>STDEV(Results!W40,Results!L40)</f>
        <v>1.7729286039084486</v>
      </c>
      <c r="AB17" s="44"/>
      <c r="AC17" s="50">
        <v>13</v>
      </c>
      <c r="AD17" s="51">
        <f t="shared" si="10"/>
        <v>312</v>
      </c>
      <c r="AE17" s="44">
        <f>(Results!E62+Results!P62)/2</f>
        <v>6.8</v>
      </c>
      <c r="AF17" s="45">
        <f>_xlfn.STDEV.S(Results!E62,Results!P62)</f>
        <v>1.2445079348883237</v>
      </c>
      <c r="AG17" s="45">
        <f t="shared" si="4"/>
        <v>0.84529719593028163</v>
      </c>
      <c r="AH17" s="44">
        <f t="shared" si="11"/>
        <v>1674.7439999999999</v>
      </c>
      <c r="AI17" s="45">
        <f>STDEV(Results!H62,Results!S62)</f>
        <v>78.980999031412551</v>
      </c>
      <c r="AJ17" s="44">
        <f t="shared" si="14"/>
        <v>-8.5058585078581026E-3</v>
      </c>
      <c r="AK17" s="44">
        <f>AVERAGE(Results!K62,Results!V62)</f>
        <v>2.617</v>
      </c>
      <c r="AL17" s="44">
        <f>STDEV(Results!K62,Results!V62)</f>
        <v>5.7982756057296789E-2</v>
      </c>
      <c r="AM17" s="44">
        <f t="shared" si="5"/>
        <v>41.034249824415816</v>
      </c>
      <c r="AN17" s="46">
        <f>STDEV(Results!L62,Results!W62)</f>
        <v>17.285346428168165</v>
      </c>
      <c r="AP17" s="13">
        <v>13</v>
      </c>
      <c r="AQ17">
        <v>10.40833333</v>
      </c>
      <c r="AR17" s="27">
        <v>1.889168688</v>
      </c>
      <c r="AS17">
        <v>2.4710331349999999</v>
      </c>
      <c r="AT17" s="14">
        <v>1E-3</v>
      </c>
      <c r="AU17" s="33">
        <v>0.432304254</v>
      </c>
      <c r="AV17" s="14">
        <v>0.53317596305961035</v>
      </c>
    </row>
    <row r="18" spans="1:48" ht="16.5" thickBot="1" x14ac:dyDescent="0.3">
      <c r="A18">
        <v>32.5</v>
      </c>
      <c r="B18">
        <v>0</v>
      </c>
      <c r="C18" s="52">
        <v>14</v>
      </c>
      <c r="D18" s="53">
        <f t="shared" si="6"/>
        <v>336</v>
      </c>
      <c r="E18" s="47">
        <f>(Results!E19+Results!P19)/2</f>
        <v>5.6</v>
      </c>
      <c r="F18" s="48">
        <f>_xlfn.STDEV.S(Results!E19,Results!P19)</f>
        <v>0.62225396744416173</v>
      </c>
      <c r="G18" s="48">
        <f t="shared" si="0"/>
        <v>0.89999540830382441</v>
      </c>
      <c r="H18" s="47">
        <f>((E18+E17))/2*(D18-D17)+H17</f>
        <v>2212.9920000000002</v>
      </c>
      <c r="I18" s="48">
        <f>STDEV(Results!H19,Results!S19)</f>
        <v>28.306898664459979</v>
      </c>
      <c r="J18" s="47">
        <f t="shared" si="7"/>
        <v>-1.4991461303124001E-2</v>
      </c>
      <c r="K18" s="47">
        <f>AVERAGE(Results!K19,Results!V19)</f>
        <v>1.7829999999999999</v>
      </c>
      <c r="L18" s="47">
        <f>STDEV(Results!K19,Results!V19)</f>
        <v>2.6870057685088829E-2</v>
      </c>
      <c r="M18" s="47">
        <f>((K18-K17)/(E18-E17))*J18*24000</f>
        <v>-10.608390761303431</v>
      </c>
      <c r="N18" s="49">
        <f>STDEV(Results!L19,Results!W19)</f>
        <v>11.250319724795725</v>
      </c>
      <c r="O18" s="44"/>
      <c r="P18" s="52">
        <v>14</v>
      </c>
      <c r="Q18" s="53">
        <f t="shared" si="8"/>
        <v>336</v>
      </c>
      <c r="R18" s="47">
        <f>(Results!E41+Results!P41)/2</f>
        <v>6.66</v>
      </c>
      <c r="S18" s="48">
        <f>_xlfn.STDEV.S(Results!E41,Results!P41)</f>
        <v>0.36769552621700441</v>
      </c>
      <c r="T18" s="48">
        <f t="shared" si="2"/>
        <v>0.94767907561656495</v>
      </c>
      <c r="U18" s="47">
        <f>((R18+R17))/2*(Q18-Q17)+U17</f>
        <v>2038.0319999999999</v>
      </c>
      <c r="V18" s="45">
        <f>STDEV(Results!H41,Results!S41)</f>
        <v>174.86467856030833</v>
      </c>
      <c r="W18" s="47">
        <f t="shared" si="13"/>
        <v>-1.4750802937881686E-3</v>
      </c>
      <c r="X18" s="47">
        <f>AVERAGE(Results!K41,Results!V41)</f>
        <v>1.8439999999999999</v>
      </c>
      <c r="Y18" s="47">
        <f>STDEV(Results!K41,Results!V41)</f>
        <v>0.10465180361560897</v>
      </c>
      <c r="Z18" s="47">
        <f>((X18-X17)/(R18-R17))*W18*24000</f>
        <v>-12.390674467820615</v>
      </c>
      <c r="AA18" s="49">
        <f>STDEV(Results!W41,Results!L41)</f>
        <v>12.100133342548093</v>
      </c>
      <c r="AB18" s="44"/>
      <c r="AC18" s="52">
        <v>14</v>
      </c>
      <c r="AD18" s="53">
        <f t="shared" si="10"/>
        <v>336</v>
      </c>
      <c r="AE18" s="47">
        <f>(Results!E63+Results!P63)/2</f>
        <v>5.68</v>
      </c>
      <c r="AF18" s="48">
        <f>_xlfn.STDEV.S(Results!E63,Results!P63)</f>
        <v>0.1131370849898477</v>
      </c>
      <c r="AG18" s="48">
        <f t="shared" si="4"/>
        <v>0.98047049753354032</v>
      </c>
      <c r="AH18" s="47">
        <f t="shared" si="11"/>
        <v>1824.5039999999999</v>
      </c>
      <c r="AI18" s="45">
        <f>STDEV(Results!H63,Results!S63)</f>
        <v>95.272739269950577</v>
      </c>
      <c r="AJ18" s="47">
        <f t="shared" si="14"/>
        <v>-7.4988074770417175E-3</v>
      </c>
      <c r="AK18" s="47">
        <f>AVERAGE(Results!K63,Results!V63)</f>
        <v>2.6619999999999999</v>
      </c>
      <c r="AL18" s="47">
        <f>STDEV(Results!K63,Results!V63)</f>
        <v>8.4852813742385777E-2</v>
      </c>
      <c r="AM18" s="47">
        <f t="shared" si="5"/>
        <v>7.2309929242902147</v>
      </c>
      <c r="AN18" s="49">
        <f>STDEV(Results!L63,Results!W63)</f>
        <v>23.860944768437285</v>
      </c>
      <c r="AP18" s="20">
        <v>14</v>
      </c>
      <c r="AQ18" s="21">
        <v>8.5333333329999999</v>
      </c>
      <c r="AR18" s="28">
        <v>0.7686568372</v>
      </c>
      <c r="AS18">
        <v>2.4616969540000002</v>
      </c>
      <c r="AT18" s="14">
        <v>0.206962118</v>
      </c>
      <c r="AU18" s="34">
        <v>-0.98902126099999998</v>
      </c>
      <c r="AV18" s="22">
        <v>-21.948094264804244</v>
      </c>
    </row>
    <row r="19" spans="1:48" x14ac:dyDescent="0.25">
      <c r="M19" s="44"/>
      <c r="P19" s="51"/>
      <c r="AI19" s="18"/>
    </row>
    <row r="20" spans="1:48" ht="17.100000000000001" customHeight="1" x14ac:dyDescent="0.25">
      <c r="F20" s="44"/>
      <c r="G20" s="56"/>
      <c r="L20" s="44"/>
      <c r="M20" s="44"/>
      <c r="O20" s="44"/>
      <c r="P20" s="44"/>
      <c r="Q20" s="44"/>
      <c r="R20" s="44"/>
      <c r="S20" s="44"/>
      <c r="T20" s="56"/>
      <c r="U20" s="44"/>
      <c r="V20" s="44"/>
      <c r="W20" s="44"/>
      <c r="X20" s="44"/>
      <c r="Y20" s="44"/>
      <c r="Z20" s="44"/>
      <c r="AA20" s="44"/>
      <c r="AC20" s="44"/>
      <c r="AD20" s="44"/>
      <c r="AE20" s="44"/>
      <c r="AF20" s="44"/>
      <c r="AG20" s="56"/>
      <c r="AH20" s="44"/>
      <c r="AI20" s="44"/>
      <c r="AJ20" s="44"/>
      <c r="AK20" s="44"/>
      <c r="AL20" s="44"/>
      <c r="AM20" s="44"/>
      <c r="AN20" s="44"/>
    </row>
    <row r="21" spans="1:48" x14ac:dyDescent="0.25">
      <c r="L21" s="44"/>
      <c r="M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</row>
    <row r="22" spans="1:48" x14ac:dyDescent="0.25">
      <c r="M22" s="44"/>
      <c r="Z22" s="44"/>
      <c r="AA22" s="44"/>
      <c r="AM22" s="44"/>
      <c r="AN22" s="44"/>
    </row>
    <row r="23" spans="1:48" x14ac:dyDescent="0.25">
      <c r="D23" s="63"/>
    </row>
    <row r="24" spans="1:48" x14ac:dyDescent="0.25">
      <c r="D24" s="63"/>
    </row>
    <row r="25" spans="1:48" x14ac:dyDescent="0.25">
      <c r="D25" s="63"/>
      <c r="G25" s="63"/>
      <c r="H25" s="63"/>
      <c r="I25" s="63"/>
      <c r="J25" s="63"/>
    </row>
    <row r="26" spans="1:48" x14ac:dyDescent="0.25">
      <c r="G26" s="63"/>
      <c r="H26" s="63"/>
      <c r="I26" s="63"/>
      <c r="J26" s="63"/>
    </row>
    <row r="27" spans="1:48" x14ac:dyDescent="0.25">
      <c r="G27" s="63"/>
      <c r="H27" s="63"/>
      <c r="I27" s="63"/>
      <c r="J27" s="63"/>
      <c r="M27" s="63"/>
      <c r="AT27" s="33"/>
    </row>
    <row r="28" spans="1:48" x14ac:dyDescent="0.25">
      <c r="AT28" s="33"/>
    </row>
    <row r="29" spans="1:48" x14ac:dyDescent="0.25">
      <c r="AT29" s="33"/>
    </row>
    <row r="30" spans="1:48" x14ac:dyDescent="0.25">
      <c r="AT30" s="33"/>
    </row>
    <row r="31" spans="1:48" x14ac:dyDescent="0.25">
      <c r="AT31" s="33"/>
    </row>
    <row r="32" spans="1:48" x14ac:dyDescent="0.25">
      <c r="AT32" s="33"/>
    </row>
    <row r="33" spans="46:46" x14ac:dyDescent="0.25">
      <c r="AT33" s="33"/>
    </row>
    <row r="34" spans="46:46" x14ac:dyDescent="0.25">
      <c r="AT34" s="33"/>
    </row>
    <row r="35" spans="46:46" x14ac:dyDescent="0.25">
      <c r="AT35" s="33"/>
    </row>
    <row r="36" spans="46:46" x14ac:dyDescent="0.25">
      <c r="AT36" s="33"/>
    </row>
    <row r="37" spans="46:46" x14ac:dyDescent="0.25">
      <c r="AT37" s="33"/>
    </row>
    <row r="38" spans="46:46" x14ac:dyDescent="0.25">
      <c r="AT38" s="33"/>
    </row>
    <row r="39" spans="46:46" x14ac:dyDescent="0.25">
      <c r="AT39" s="33"/>
    </row>
    <row r="40" spans="46:46" x14ac:dyDescent="0.25">
      <c r="AT40" s="33"/>
    </row>
    <row r="45" spans="46:46" ht="68.099999999999994" customHeight="1" x14ac:dyDescent="0.25"/>
    <row r="57" spans="3:4" x14ac:dyDescent="0.25">
      <c r="C57" s="44"/>
      <c r="D57" s="44"/>
    </row>
    <row r="58" spans="3:4" x14ac:dyDescent="0.25">
      <c r="C58" s="44"/>
      <c r="D58" s="44"/>
    </row>
    <row r="59" spans="3:4" x14ac:dyDescent="0.25">
      <c r="C59" s="44"/>
      <c r="D59" s="44"/>
    </row>
    <row r="69" spans="5:6" x14ac:dyDescent="0.25">
      <c r="F69" s="44"/>
    </row>
    <row r="70" spans="5:6" x14ac:dyDescent="0.25">
      <c r="E70" s="44"/>
    </row>
    <row r="71" spans="5:6" ht="27" customHeight="1" x14ac:dyDescent="0.25"/>
  </sheetData>
  <conditionalFormatting sqref="F4:F18">
    <cfRule type="colorScale" priority="13">
      <colorScale>
        <cfvo type="min"/>
        <cfvo type="percentile" val="50"/>
        <cfvo type="max"/>
        <color theme="9"/>
        <color rgb="FFFFEB84"/>
        <color rgb="FFFF0000"/>
      </colorScale>
    </cfRule>
  </conditionalFormatting>
  <conditionalFormatting sqref="I4:I18">
    <cfRule type="colorScale" priority="3">
      <colorScale>
        <cfvo type="min"/>
        <cfvo type="percentile" val="50"/>
        <cfvo type="max"/>
        <color theme="9"/>
        <color rgb="FFFFEB84"/>
        <color rgb="FFFF0000"/>
      </colorScale>
    </cfRule>
  </conditionalFormatting>
  <conditionalFormatting sqref="L4:L18">
    <cfRule type="colorScale" priority="19">
      <colorScale>
        <cfvo type="min"/>
        <cfvo type="percentile" val="50"/>
        <cfvo type="max"/>
        <color theme="9"/>
        <color rgb="FFFFEB84"/>
        <color rgb="FFFF0000"/>
      </colorScale>
    </cfRule>
  </conditionalFormatting>
  <conditionalFormatting sqref="N5:N18">
    <cfRule type="colorScale" priority="18">
      <colorScale>
        <cfvo type="min"/>
        <cfvo type="percentile" val="50"/>
        <cfvo type="max"/>
        <color theme="9"/>
        <color rgb="FFFFEB84"/>
        <color rgb="FFFF0000"/>
      </colorScale>
    </cfRule>
  </conditionalFormatting>
  <conditionalFormatting sqref="S4:S18">
    <cfRule type="colorScale" priority="12">
      <colorScale>
        <cfvo type="min"/>
        <cfvo type="percentile" val="50"/>
        <cfvo type="max"/>
        <color theme="9"/>
        <color rgb="FFFFEB84"/>
        <color rgb="FFFF0000"/>
      </colorScale>
    </cfRule>
  </conditionalFormatting>
  <conditionalFormatting sqref="V5:V18">
    <cfRule type="colorScale" priority="2">
      <colorScale>
        <cfvo type="min"/>
        <cfvo type="percentile" val="50"/>
        <cfvo type="max"/>
        <color theme="9"/>
        <color rgb="FFFFEB84"/>
        <color rgb="FFFF0000"/>
      </colorScale>
    </cfRule>
  </conditionalFormatting>
  <conditionalFormatting sqref="AA5:AA18">
    <cfRule type="colorScale" priority="15">
      <colorScale>
        <cfvo type="min"/>
        <cfvo type="percentile" val="50"/>
        <cfvo type="max"/>
        <color theme="9"/>
        <color rgb="FFFFEB84"/>
        <color rgb="FFFF0000"/>
      </colorScale>
    </cfRule>
  </conditionalFormatting>
  <conditionalFormatting sqref="AF4:AF18">
    <cfRule type="colorScale" priority="11">
      <colorScale>
        <cfvo type="min"/>
        <cfvo type="percentile" val="50"/>
        <cfvo type="max"/>
        <color theme="9"/>
        <color rgb="FFFFEB84"/>
        <color rgb="FFFF0000"/>
      </colorScale>
    </cfRule>
  </conditionalFormatting>
  <conditionalFormatting sqref="AI4:AI18">
    <cfRule type="colorScale" priority="1">
      <colorScale>
        <cfvo type="min"/>
        <cfvo type="percentile" val="50"/>
        <cfvo type="max"/>
        <color theme="9"/>
        <color rgb="FFFFEB84"/>
        <color rgb="FFFF0000"/>
      </colorScale>
    </cfRule>
  </conditionalFormatting>
  <conditionalFormatting sqref="AN5:AN18">
    <cfRule type="colorScale" priority="14">
      <colorScale>
        <cfvo type="min"/>
        <cfvo type="percentile" val="50"/>
        <cfvo type="max"/>
        <color theme="9"/>
        <color rgb="FFFFEB84"/>
        <color rgb="FFFF0000"/>
      </colorScale>
    </cfRule>
  </conditionalFormatting>
  <conditionalFormatting sqref="AR4:AR18">
    <cfRule type="colorScale" priority="9">
      <colorScale>
        <cfvo type="min"/>
        <cfvo type="percentile" val="50"/>
        <cfvo type="max"/>
        <color theme="9"/>
        <color rgb="FFFFEB84"/>
        <color rgb="FFFF0000"/>
      </colorScale>
    </cfRule>
  </conditionalFormatting>
  <conditionalFormatting sqref="AT5:AT18">
    <cfRule type="colorScale" priority="4">
      <colorScale>
        <cfvo type="min"/>
        <cfvo type="percentile" val="50"/>
        <cfvo type="max"/>
        <color theme="9"/>
        <color rgb="FFFFEB84"/>
        <color rgb="FFFF0000"/>
      </colorScale>
    </cfRule>
  </conditionalFormatting>
  <conditionalFormatting sqref="AU27:AW4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5:AV18">
    <cfRule type="colorScale" priority="8">
      <colorScale>
        <cfvo type="min"/>
        <cfvo type="percentile" val="50"/>
        <cfvo type="max"/>
        <color theme="9"/>
        <color rgb="FFFFEB84"/>
        <color rgb="FFFF0000"/>
      </colorScale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Setup</vt:lpstr>
      <vt:lpstr>Results</vt:lpstr>
      <vt:lpstr>FinalResults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Thanasis Antonakoudis</cp:lastModifiedBy>
  <dcterms:created xsi:type="dcterms:W3CDTF">2022-03-04T08:14:01Z</dcterms:created>
  <dcterms:modified xsi:type="dcterms:W3CDTF">2026-10-11T17:51:53Z</dcterms:modified>
</cp:coreProperties>
</file>